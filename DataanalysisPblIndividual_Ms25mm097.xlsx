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hrishikasansanwal/Downloads/"/>
    </mc:Choice>
  </mc:AlternateContent>
  <xr:revisionPtr revIDLastSave="0" documentId="13_ncr:1_{62A55193-6910-8243-A1C8-AF9FEA98C9BD}" xr6:coauthVersionLast="47" xr6:coauthVersionMax="47" xr10:uidLastSave="{00000000-0000-0000-0000-000000000000}"/>
  <bookViews>
    <workbookView xWindow="0" yWindow="660" windowWidth="29400" windowHeight="17540" firstSheet="1" activeTab="10" xr2:uid="{A34E505D-E81D-5C45-AD27-A066FEFAE856}"/>
  </bookViews>
  <sheets>
    <sheet name="Overview " sheetId="1" r:id="rId1"/>
    <sheet name="Raw data" sheetId="2" r:id="rId2"/>
    <sheet name="Purchase likelihood" sheetId="5" r:id="rId3"/>
    <sheet name="Purchase frequency per year" sheetId="6" r:id="rId4"/>
    <sheet name="Willingness to pay" sheetId="7" r:id="rId5"/>
    <sheet name="Influencer impact" sheetId="8" r:id="rId6"/>
    <sheet name="Brand Awareness" sheetId="9" r:id="rId7"/>
    <sheet name="Cleaned data" sheetId="3" r:id="rId8"/>
    <sheet name="Descriptive stats" sheetId="4" r:id="rId9"/>
    <sheet name="Correlation" sheetId="10" r:id="rId10"/>
    <sheet name="Graphs" sheetId="11" r:id="rId11"/>
    <sheet name="Report" sheetId="12" r:id="rId12"/>
  </sheets>
  <externalReferences>
    <externalReference r:id="rId13"/>
  </externalReferences>
  <definedNames>
    <definedName name="_xlchart.v1.0" hidden="1">[1]Cleaned_Data!$E$4:$E$103</definedName>
    <definedName name="_xlchart.v1.1" hidden="1">[1]Cleaned_Data!$I$4:$I$103</definedName>
    <definedName name="_xlchart.v1.10" hidden="1">([1]Cleaned_Data!$J$102,[1]Cleaned_Data!$L$102)</definedName>
    <definedName name="_xlchart.v1.100" hidden="1">([1]Cleaned_Data!$J$94,[1]Cleaned_Data!$L$94)</definedName>
    <definedName name="_xlchart.v1.101" hidden="1">([1]Cleaned_Data!$J$95,[1]Cleaned_Data!$L$95)</definedName>
    <definedName name="_xlchart.v1.102" hidden="1">([1]Cleaned_Data!$J$96,[1]Cleaned_Data!$L$96)</definedName>
    <definedName name="_xlchart.v1.103" hidden="1">([1]Cleaned_Data!$J$97,[1]Cleaned_Data!$L$97)</definedName>
    <definedName name="_xlchart.v1.104" hidden="1">([1]Cleaned_Data!$J$98,[1]Cleaned_Data!$L$98)</definedName>
    <definedName name="_xlchart.v1.105" hidden="1">([1]Cleaned_Data!$J$99,[1]Cleaned_Data!$L$99)</definedName>
    <definedName name="_xlchart.v1.106" hidden="1">([1]Cleaned_Data!$J$10,[1]Cleaned_Data!$L$10)</definedName>
    <definedName name="_xlchart.v1.107" hidden="1">([1]Cleaned_Data!$J$100,[1]Cleaned_Data!$L$100)</definedName>
    <definedName name="_xlchart.v1.108" hidden="1">([1]Cleaned_Data!$J$101,[1]Cleaned_Data!$L$101)</definedName>
    <definedName name="_xlchart.v1.109" hidden="1">([1]Cleaned_Data!$J$102,[1]Cleaned_Data!$L$102)</definedName>
    <definedName name="_xlchart.v1.11" hidden="1">([1]Cleaned_Data!$J$103,[1]Cleaned_Data!$L$103)</definedName>
    <definedName name="_xlchart.v1.110" hidden="1">([1]Cleaned_Data!$J$103,[1]Cleaned_Data!$L$103)</definedName>
    <definedName name="_xlchart.v1.111" hidden="1">([1]Cleaned_Data!$J$11,[1]Cleaned_Data!$L$11)</definedName>
    <definedName name="_xlchart.v1.112" hidden="1">([1]Cleaned_Data!$J$12,[1]Cleaned_Data!$L$12)</definedName>
    <definedName name="_xlchart.v1.113" hidden="1">([1]Cleaned_Data!$J$13,[1]Cleaned_Data!$L$13)</definedName>
    <definedName name="_xlchart.v1.114" hidden="1">([1]Cleaned_Data!$J$14,[1]Cleaned_Data!$L$14)</definedName>
    <definedName name="_xlchart.v1.115" hidden="1">([1]Cleaned_Data!$J$15,[1]Cleaned_Data!$L$15)</definedName>
    <definedName name="_xlchart.v1.116" hidden="1">([1]Cleaned_Data!$J$16,[1]Cleaned_Data!$L$16)</definedName>
    <definedName name="_xlchart.v1.117" hidden="1">([1]Cleaned_Data!$J$17,[1]Cleaned_Data!$L$17)</definedName>
    <definedName name="_xlchart.v1.118" hidden="1">([1]Cleaned_Data!$J$18,[1]Cleaned_Data!$L$18)</definedName>
    <definedName name="_xlchart.v1.119" hidden="1">([1]Cleaned_Data!$J$19,[1]Cleaned_Data!$L$19)</definedName>
    <definedName name="_xlchart.v1.12" hidden="1">([1]Cleaned_Data!$J$11,[1]Cleaned_Data!$L$11)</definedName>
    <definedName name="_xlchart.v1.120" hidden="1">([1]Cleaned_Data!$J$20,[1]Cleaned_Data!$L$20)</definedName>
    <definedName name="_xlchart.v1.121" hidden="1">([1]Cleaned_Data!$J$21,[1]Cleaned_Data!$L$21)</definedName>
    <definedName name="_xlchart.v1.122" hidden="1">([1]Cleaned_Data!$J$22,[1]Cleaned_Data!$L$22)</definedName>
    <definedName name="_xlchart.v1.123" hidden="1">([1]Cleaned_Data!$J$23,[1]Cleaned_Data!$L$23)</definedName>
    <definedName name="_xlchart.v1.124" hidden="1">([1]Cleaned_Data!$J$24,[1]Cleaned_Data!$L$24)</definedName>
    <definedName name="_xlchart.v1.125" hidden="1">([1]Cleaned_Data!$J$25,[1]Cleaned_Data!$L$25)</definedName>
    <definedName name="_xlchart.v1.126" hidden="1">([1]Cleaned_Data!$J$26,[1]Cleaned_Data!$L$26)</definedName>
    <definedName name="_xlchart.v1.127" hidden="1">([1]Cleaned_Data!$J$27,[1]Cleaned_Data!$L$27)</definedName>
    <definedName name="_xlchart.v1.128" hidden="1">([1]Cleaned_Data!$J$28,[1]Cleaned_Data!$L$28)</definedName>
    <definedName name="_xlchart.v1.129" hidden="1">([1]Cleaned_Data!$J$29,[1]Cleaned_Data!$L$29)</definedName>
    <definedName name="_xlchart.v1.13" hidden="1">([1]Cleaned_Data!$J$12,[1]Cleaned_Data!$L$12)</definedName>
    <definedName name="_xlchart.v1.130" hidden="1">([1]Cleaned_Data!$J$30,[1]Cleaned_Data!$L$30)</definedName>
    <definedName name="_xlchart.v1.131" hidden="1">([1]Cleaned_Data!$J$31,[1]Cleaned_Data!$L$31)</definedName>
    <definedName name="_xlchart.v1.132" hidden="1">([1]Cleaned_Data!$J$32,[1]Cleaned_Data!$L$32)</definedName>
    <definedName name="_xlchart.v1.133" hidden="1">([1]Cleaned_Data!$J$33,[1]Cleaned_Data!$L$33)</definedName>
    <definedName name="_xlchart.v1.134" hidden="1">([1]Cleaned_Data!$J$34,[1]Cleaned_Data!$L$34)</definedName>
    <definedName name="_xlchart.v1.135" hidden="1">([1]Cleaned_Data!$J$35,[1]Cleaned_Data!$L$35)</definedName>
    <definedName name="_xlchart.v1.136" hidden="1">([1]Cleaned_Data!$J$36,[1]Cleaned_Data!$L$36)</definedName>
    <definedName name="_xlchart.v1.137" hidden="1">([1]Cleaned_Data!$J$37,[1]Cleaned_Data!$L$37)</definedName>
    <definedName name="_xlchart.v1.138" hidden="1">([1]Cleaned_Data!$J$38,[1]Cleaned_Data!$L$38)</definedName>
    <definedName name="_xlchart.v1.139" hidden="1">([1]Cleaned_Data!$J$39,[1]Cleaned_Data!$L$39)</definedName>
    <definedName name="_xlchart.v1.14" hidden="1">([1]Cleaned_Data!$J$13,[1]Cleaned_Data!$L$13)</definedName>
    <definedName name="_xlchart.v1.140" hidden="1">([1]Cleaned_Data!$J$4,[1]Cleaned_Data!$L$4)</definedName>
    <definedName name="_xlchart.v1.141" hidden="1">([1]Cleaned_Data!$J$40,[1]Cleaned_Data!$L$40)</definedName>
    <definedName name="_xlchart.v1.142" hidden="1">([1]Cleaned_Data!$J$41,[1]Cleaned_Data!$L$41)</definedName>
    <definedName name="_xlchart.v1.143" hidden="1">([1]Cleaned_Data!$J$42,[1]Cleaned_Data!$L$42)</definedName>
    <definedName name="_xlchart.v1.144" hidden="1">([1]Cleaned_Data!$J$43,[1]Cleaned_Data!$L$43)</definedName>
    <definedName name="_xlchart.v1.145" hidden="1">([1]Cleaned_Data!$J$44,[1]Cleaned_Data!$L$44)</definedName>
    <definedName name="_xlchart.v1.146" hidden="1">([1]Cleaned_Data!$J$45,[1]Cleaned_Data!$L$45)</definedName>
    <definedName name="_xlchart.v1.147" hidden="1">([1]Cleaned_Data!$J$46,[1]Cleaned_Data!$L$46)</definedName>
    <definedName name="_xlchart.v1.148" hidden="1">([1]Cleaned_Data!$J$47,[1]Cleaned_Data!$L$47)</definedName>
    <definedName name="_xlchart.v1.149" hidden="1">([1]Cleaned_Data!$J$48,[1]Cleaned_Data!$L$48)</definedName>
    <definedName name="_xlchart.v1.15" hidden="1">([1]Cleaned_Data!$J$14,[1]Cleaned_Data!$L$14)</definedName>
    <definedName name="_xlchart.v1.150" hidden="1">([1]Cleaned_Data!$J$49,[1]Cleaned_Data!$L$49)</definedName>
    <definedName name="_xlchart.v1.151" hidden="1">([1]Cleaned_Data!$J$5,[1]Cleaned_Data!$L$5)</definedName>
    <definedName name="_xlchart.v1.152" hidden="1">([1]Cleaned_Data!$J$50,[1]Cleaned_Data!$L$50)</definedName>
    <definedName name="_xlchart.v1.153" hidden="1">([1]Cleaned_Data!$J$51,[1]Cleaned_Data!$L$51)</definedName>
    <definedName name="_xlchart.v1.154" hidden="1">([1]Cleaned_Data!$J$52,[1]Cleaned_Data!$L$52)</definedName>
    <definedName name="_xlchart.v1.155" hidden="1">([1]Cleaned_Data!$J$53,[1]Cleaned_Data!$L$53)</definedName>
    <definedName name="_xlchart.v1.156" hidden="1">([1]Cleaned_Data!$J$54,[1]Cleaned_Data!$L$54)</definedName>
    <definedName name="_xlchart.v1.157" hidden="1">([1]Cleaned_Data!$J$55,[1]Cleaned_Data!$L$55)</definedName>
    <definedName name="_xlchart.v1.158" hidden="1">([1]Cleaned_Data!$J$56,[1]Cleaned_Data!$L$56)</definedName>
    <definedName name="_xlchart.v1.159" hidden="1">([1]Cleaned_Data!$J$57,[1]Cleaned_Data!$L$57)</definedName>
    <definedName name="_xlchart.v1.16" hidden="1">([1]Cleaned_Data!$J$15,[1]Cleaned_Data!$L$15)</definedName>
    <definedName name="_xlchart.v1.160" hidden="1">([1]Cleaned_Data!$J$58,[1]Cleaned_Data!$L$58)</definedName>
    <definedName name="_xlchart.v1.161" hidden="1">([1]Cleaned_Data!$J$59,[1]Cleaned_Data!$L$59)</definedName>
    <definedName name="_xlchart.v1.162" hidden="1">([1]Cleaned_Data!$J$6,[1]Cleaned_Data!$L$6)</definedName>
    <definedName name="_xlchart.v1.163" hidden="1">([1]Cleaned_Data!$J$60,[1]Cleaned_Data!$L$60)</definedName>
    <definedName name="_xlchart.v1.164" hidden="1">([1]Cleaned_Data!$J$61,[1]Cleaned_Data!$L$61)</definedName>
    <definedName name="_xlchart.v1.165" hidden="1">([1]Cleaned_Data!$J$62,[1]Cleaned_Data!$L$62)</definedName>
    <definedName name="_xlchart.v1.166" hidden="1">([1]Cleaned_Data!$J$63,[1]Cleaned_Data!$L$63)</definedName>
    <definedName name="_xlchart.v1.167" hidden="1">([1]Cleaned_Data!$J$64,[1]Cleaned_Data!$L$64)</definedName>
    <definedName name="_xlchart.v1.168" hidden="1">([1]Cleaned_Data!$J$65,[1]Cleaned_Data!$L$65)</definedName>
    <definedName name="_xlchart.v1.169" hidden="1">([1]Cleaned_Data!$J$66,[1]Cleaned_Data!$L$66)</definedName>
    <definedName name="_xlchart.v1.17" hidden="1">([1]Cleaned_Data!$J$16,[1]Cleaned_Data!$L$16)</definedName>
    <definedName name="_xlchart.v1.170" hidden="1">([1]Cleaned_Data!$J$67,[1]Cleaned_Data!$L$67)</definedName>
    <definedName name="_xlchart.v1.171" hidden="1">([1]Cleaned_Data!$J$68,[1]Cleaned_Data!$L$68)</definedName>
    <definedName name="_xlchart.v1.172" hidden="1">([1]Cleaned_Data!$J$69,[1]Cleaned_Data!$L$69)</definedName>
    <definedName name="_xlchart.v1.173" hidden="1">([1]Cleaned_Data!$J$7,[1]Cleaned_Data!$L$7)</definedName>
    <definedName name="_xlchart.v1.174" hidden="1">([1]Cleaned_Data!$J$70,[1]Cleaned_Data!$L$70)</definedName>
    <definedName name="_xlchart.v1.175" hidden="1">([1]Cleaned_Data!$J$71,[1]Cleaned_Data!$L$71)</definedName>
    <definedName name="_xlchart.v1.176" hidden="1">([1]Cleaned_Data!$J$72,[1]Cleaned_Data!$L$72)</definedName>
    <definedName name="_xlchart.v1.177" hidden="1">([1]Cleaned_Data!$J$73,[1]Cleaned_Data!$L$73)</definedName>
    <definedName name="_xlchart.v1.178" hidden="1">([1]Cleaned_Data!$J$74,[1]Cleaned_Data!$L$74)</definedName>
    <definedName name="_xlchart.v1.179" hidden="1">([1]Cleaned_Data!$J$75,[1]Cleaned_Data!$L$75)</definedName>
    <definedName name="_xlchart.v1.18" hidden="1">([1]Cleaned_Data!$J$17,[1]Cleaned_Data!$L$17)</definedName>
    <definedName name="_xlchart.v1.180" hidden="1">([1]Cleaned_Data!$J$76,[1]Cleaned_Data!$L$76)</definedName>
    <definedName name="_xlchart.v1.181" hidden="1">([1]Cleaned_Data!$J$77,[1]Cleaned_Data!$L$77)</definedName>
    <definedName name="_xlchart.v1.182" hidden="1">([1]Cleaned_Data!$J$78,[1]Cleaned_Data!$L$78)</definedName>
    <definedName name="_xlchart.v1.183" hidden="1">([1]Cleaned_Data!$J$79,[1]Cleaned_Data!$L$79)</definedName>
    <definedName name="_xlchart.v1.184" hidden="1">([1]Cleaned_Data!$J$8,[1]Cleaned_Data!$L$8)</definedName>
    <definedName name="_xlchart.v1.185" hidden="1">([1]Cleaned_Data!$J$80,[1]Cleaned_Data!$L$80)</definedName>
    <definedName name="_xlchart.v1.186" hidden="1">([1]Cleaned_Data!$J$81,[1]Cleaned_Data!$L$81)</definedName>
    <definedName name="_xlchart.v1.187" hidden="1">([1]Cleaned_Data!$J$82,[1]Cleaned_Data!$L$82)</definedName>
    <definedName name="_xlchart.v1.188" hidden="1">([1]Cleaned_Data!$J$83,[1]Cleaned_Data!$L$83)</definedName>
    <definedName name="_xlchart.v1.189" hidden="1">([1]Cleaned_Data!$J$84,[1]Cleaned_Data!$L$84)</definedName>
    <definedName name="_xlchart.v1.19" hidden="1">([1]Cleaned_Data!$J$18,[1]Cleaned_Data!$L$18)</definedName>
    <definedName name="_xlchart.v1.190" hidden="1">([1]Cleaned_Data!$J$85,[1]Cleaned_Data!$L$85)</definedName>
    <definedName name="_xlchart.v1.191" hidden="1">([1]Cleaned_Data!$J$86,[1]Cleaned_Data!$L$86)</definedName>
    <definedName name="_xlchart.v1.192" hidden="1">([1]Cleaned_Data!$J$87,[1]Cleaned_Data!$L$87)</definedName>
    <definedName name="_xlchart.v1.193" hidden="1">([1]Cleaned_Data!$J$88,[1]Cleaned_Data!$L$88)</definedName>
    <definedName name="_xlchart.v1.194" hidden="1">([1]Cleaned_Data!$J$89,[1]Cleaned_Data!$L$89)</definedName>
    <definedName name="_xlchart.v1.195" hidden="1">([1]Cleaned_Data!$J$9,[1]Cleaned_Data!$L$9)</definedName>
    <definedName name="_xlchart.v1.196" hidden="1">([1]Cleaned_Data!$J$90,[1]Cleaned_Data!$L$90)</definedName>
    <definedName name="_xlchart.v1.197" hidden="1">([1]Cleaned_Data!$J$91,[1]Cleaned_Data!$L$91)</definedName>
    <definedName name="_xlchart.v1.198" hidden="1">([1]Cleaned_Data!$J$92,[1]Cleaned_Data!$L$92)</definedName>
    <definedName name="_xlchart.v1.199" hidden="1">([1]Cleaned_Data!$J$93,[1]Cleaned_Data!$L$93)</definedName>
    <definedName name="_xlchart.v1.2" hidden="1">[1]Cleaned_Data!$E$4:$E$103</definedName>
    <definedName name="_xlchart.v1.20" hidden="1">([1]Cleaned_Data!$J$19,[1]Cleaned_Data!$L$19)</definedName>
    <definedName name="_xlchart.v1.200" hidden="1">([1]Cleaned_Data!$J$94,[1]Cleaned_Data!$L$94)</definedName>
    <definedName name="_xlchart.v1.201" hidden="1">([1]Cleaned_Data!$J$95,[1]Cleaned_Data!$L$95)</definedName>
    <definedName name="_xlchart.v1.202" hidden="1">([1]Cleaned_Data!$J$96,[1]Cleaned_Data!$L$96)</definedName>
    <definedName name="_xlchart.v1.203" hidden="1">([1]Cleaned_Data!$J$97,[1]Cleaned_Data!$L$97)</definedName>
    <definedName name="_xlchart.v1.204" hidden="1">([1]Cleaned_Data!$J$98,[1]Cleaned_Data!$L$98)</definedName>
    <definedName name="_xlchart.v1.205" hidden="1">([1]Cleaned_Data!$J$99,[1]Cleaned_Data!$L$99)</definedName>
    <definedName name="_xlchart.v1.206" hidden="1">([1]Cleaned_Data!$J$10,[1]Cleaned_Data!$L$10)</definedName>
    <definedName name="_xlchart.v1.207" hidden="1">([1]Cleaned_Data!$J$100,[1]Cleaned_Data!$L$100)</definedName>
    <definedName name="_xlchart.v1.208" hidden="1">([1]Cleaned_Data!$J$101,[1]Cleaned_Data!$L$101)</definedName>
    <definedName name="_xlchart.v1.209" hidden="1">([1]Cleaned_Data!$J$102,[1]Cleaned_Data!$L$102)</definedName>
    <definedName name="_xlchart.v1.21" hidden="1">([1]Cleaned_Data!$J$20,[1]Cleaned_Data!$L$20)</definedName>
    <definedName name="_xlchart.v1.210" hidden="1">([1]Cleaned_Data!$J$103,[1]Cleaned_Data!$L$103)</definedName>
    <definedName name="_xlchart.v1.211" hidden="1">([1]Cleaned_Data!$J$11,[1]Cleaned_Data!$L$11)</definedName>
    <definedName name="_xlchart.v1.212" hidden="1">([1]Cleaned_Data!$J$12,[1]Cleaned_Data!$L$12)</definedName>
    <definedName name="_xlchart.v1.213" hidden="1">([1]Cleaned_Data!$J$13,[1]Cleaned_Data!$L$13)</definedName>
    <definedName name="_xlchart.v1.214" hidden="1">([1]Cleaned_Data!$J$14,[1]Cleaned_Data!$L$14)</definedName>
    <definedName name="_xlchart.v1.215" hidden="1">([1]Cleaned_Data!$J$15,[1]Cleaned_Data!$L$15)</definedName>
    <definedName name="_xlchart.v1.216" hidden="1">([1]Cleaned_Data!$J$16,[1]Cleaned_Data!$L$16)</definedName>
    <definedName name="_xlchart.v1.217" hidden="1">([1]Cleaned_Data!$J$17,[1]Cleaned_Data!$L$17)</definedName>
    <definedName name="_xlchart.v1.218" hidden="1">([1]Cleaned_Data!$J$18,[1]Cleaned_Data!$L$18)</definedName>
    <definedName name="_xlchart.v1.219" hidden="1">([1]Cleaned_Data!$J$19,[1]Cleaned_Data!$L$19)</definedName>
    <definedName name="_xlchart.v1.22" hidden="1">([1]Cleaned_Data!$J$21,[1]Cleaned_Data!$L$21)</definedName>
    <definedName name="_xlchart.v1.220" hidden="1">([1]Cleaned_Data!$J$20,[1]Cleaned_Data!$L$20)</definedName>
    <definedName name="_xlchart.v1.221" hidden="1">([1]Cleaned_Data!$J$21,[1]Cleaned_Data!$L$21)</definedName>
    <definedName name="_xlchart.v1.222" hidden="1">([1]Cleaned_Data!$J$22,[1]Cleaned_Data!$L$22)</definedName>
    <definedName name="_xlchart.v1.223" hidden="1">([1]Cleaned_Data!$J$23,[1]Cleaned_Data!$L$23)</definedName>
    <definedName name="_xlchart.v1.224" hidden="1">([1]Cleaned_Data!$J$24,[1]Cleaned_Data!$L$24)</definedName>
    <definedName name="_xlchart.v1.225" hidden="1">([1]Cleaned_Data!$J$25,[1]Cleaned_Data!$L$25)</definedName>
    <definedName name="_xlchart.v1.226" hidden="1">([1]Cleaned_Data!$J$26,[1]Cleaned_Data!$L$26)</definedName>
    <definedName name="_xlchart.v1.227" hidden="1">([1]Cleaned_Data!$J$27,[1]Cleaned_Data!$L$27)</definedName>
    <definedName name="_xlchart.v1.228" hidden="1">([1]Cleaned_Data!$J$28,[1]Cleaned_Data!$L$28)</definedName>
    <definedName name="_xlchart.v1.229" hidden="1">([1]Cleaned_Data!$J$29,[1]Cleaned_Data!$L$29)</definedName>
    <definedName name="_xlchart.v1.23" hidden="1">([1]Cleaned_Data!$J$22,[1]Cleaned_Data!$L$22)</definedName>
    <definedName name="_xlchart.v1.230" hidden="1">([1]Cleaned_Data!$J$30,[1]Cleaned_Data!$L$30)</definedName>
    <definedName name="_xlchart.v1.231" hidden="1">([1]Cleaned_Data!$J$31,[1]Cleaned_Data!$L$31)</definedName>
    <definedName name="_xlchart.v1.232" hidden="1">([1]Cleaned_Data!$J$32,[1]Cleaned_Data!$L$32)</definedName>
    <definedName name="_xlchart.v1.233" hidden="1">([1]Cleaned_Data!$J$33,[1]Cleaned_Data!$L$33)</definedName>
    <definedName name="_xlchart.v1.234" hidden="1">([1]Cleaned_Data!$J$34,[1]Cleaned_Data!$L$34)</definedName>
    <definedName name="_xlchart.v1.235" hidden="1">([1]Cleaned_Data!$J$35,[1]Cleaned_Data!$L$35)</definedName>
    <definedName name="_xlchart.v1.236" hidden="1">([1]Cleaned_Data!$J$36,[1]Cleaned_Data!$L$36)</definedName>
    <definedName name="_xlchart.v1.237" hidden="1">([1]Cleaned_Data!$J$37,[1]Cleaned_Data!$L$37)</definedName>
    <definedName name="_xlchart.v1.238" hidden="1">([1]Cleaned_Data!$J$38,[1]Cleaned_Data!$L$38)</definedName>
    <definedName name="_xlchart.v1.239" hidden="1">([1]Cleaned_Data!$J$39,[1]Cleaned_Data!$L$39)</definedName>
    <definedName name="_xlchart.v1.24" hidden="1">([1]Cleaned_Data!$J$23,[1]Cleaned_Data!$L$23)</definedName>
    <definedName name="_xlchart.v1.240" hidden="1">([1]Cleaned_Data!$J$4,[1]Cleaned_Data!$L$4)</definedName>
    <definedName name="_xlchart.v1.241" hidden="1">([1]Cleaned_Data!$J$40,[1]Cleaned_Data!$L$40)</definedName>
    <definedName name="_xlchart.v1.242" hidden="1">([1]Cleaned_Data!$J$41,[1]Cleaned_Data!$L$41)</definedName>
    <definedName name="_xlchart.v1.243" hidden="1">([1]Cleaned_Data!$J$42,[1]Cleaned_Data!$L$42)</definedName>
    <definedName name="_xlchart.v1.244" hidden="1">([1]Cleaned_Data!$J$43,[1]Cleaned_Data!$L$43)</definedName>
    <definedName name="_xlchart.v1.245" hidden="1">([1]Cleaned_Data!$J$44,[1]Cleaned_Data!$L$44)</definedName>
    <definedName name="_xlchart.v1.246" hidden="1">([1]Cleaned_Data!$J$45,[1]Cleaned_Data!$L$45)</definedName>
    <definedName name="_xlchart.v1.247" hidden="1">([1]Cleaned_Data!$J$46,[1]Cleaned_Data!$L$46)</definedName>
    <definedName name="_xlchart.v1.248" hidden="1">([1]Cleaned_Data!$J$47,[1]Cleaned_Data!$L$47)</definedName>
    <definedName name="_xlchart.v1.249" hidden="1">([1]Cleaned_Data!$J$48,[1]Cleaned_Data!$L$48)</definedName>
    <definedName name="_xlchart.v1.25" hidden="1">([1]Cleaned_Data!$J$24,[1]Cleaned_Data!$L$24)</definedName>
    <definedName name="_xlchart.v1.250" hidden="1">([1]Cleaned_Data!$J$49,[1]Cleaned_Data!$L$49)</definedName>
    <definedName name="_xlchart.v1.251" hidden="1">([1]Cleaned_Data!$J$5,[1]Cleaned_Data!$L$5)</definedName>
    <definedName name="_xlchart.v1.252" hidden="1">([1]Cleaned_Data!$J$50,[1]Cleaned_Data!$L$50)</definedName>
    <definedName name="_xlchart.v1.253" hidden="1">([1]Cleaned_Data!$J$51,[1]Cleaned_Data!$L$51)</definedName>
    <definedName name="_xlchart.v1.254" hidden="1">([1]Cleaned_Data!$J$52,[1]Cleaned_Data!$L$52)</definedName>
    <definedName name="_xlchart.v1.255" hidden="1">([1]Cleaned_Data!$J$53,[1]Cleaned_Data!$L$53)</definedName>
    <definedName name="_xlchart.v1.256" hidden="1">([1]Cleaned_Data!$J$54,[1]Cleaned_Data!$L$54)</definedName>
    <definedName name="_xlchart.v1.257" hidden="1">([1]Cleaned_Data!$J$55,[1]Cleaned_Data!$L$55)</definedName>
    <definedName name="_xlchart.v1.258" hidden="1">([1]Cleaned_Data!$J$56,[1]Cleaned_Data!$L$56)</definedName>
    <definedName name="_xlchart.v1.259" hidden="1">([1]Cleaned_Data!$J$57,[1]Cleaned_Data!$L$57)</definedName>
    <definedName name="_xlchart.v1.26" hidden="1">([1]Cleaned_Data!$J$25,[1]Cleaned_Data!$L$25)</definedName>
    <definedName name="_xlchart.v1.260" hidden="1">([1]Cleaned_Data!$J$58,[1]Cleaned_Data!$L$58)</definedName>
    <definedName name="_xlchart.v1.261" hidden="1">([1]Cleaned_Data!$J$59,[1]Cleaned_Data!$L$59)</definedName>
    <definedName name="_xlchart.v1.262" hidden="1">([1]Cleaned_Data!$J$6,[1]Cleaned_Data!$L$6)</definedName>
    <definedName name="_xlchart.v1.263" hidden="1">([1]Cleaned_Data!$J$60,[1]Cleaned_Data!$L$60)</definedName>
    <definedName name="_xlchart.v1.264" hidden="1">([1]Cleaned_Data!$J$61,[1]Cleaned_Data!$L$61)</definedName>
    <definedName name="_xlchart.v1.265" hidden="1">([1]Cleaned_Data!$J$62,[1]Cleaned_Data!$L$62)</definedName>
    <definedName name="_xlchart.v1.266" hidden="1">([1]Cleaned_Data!$J$63,[1]Cleaned_Data!$L$63)</definedName>
    <definedName name="_xlchart.v1.267" hidden="1">([1]Cleaned_Data!$J$64,[1]Cleaned_Data!$L$64)</definedName>
    <definedName name="_xlchart.v1.268" hidden="1">([1]Cleaned_Data!$J$65,[1]Cleaned_Data!$L$65)</definedName>
    <definedName name="_xlchart.v1.269" hidden="1">([1]Cleaned_Data!$J$66,[1]Cleaned_Data!$L$66)</definedName>
    <definedName name="_xlchart.v1.27" hidden="1">([1]Cleaned_Data!$J$26,[1]Cleaned_Data!$L$26)</definedName>
    <definedName name="_xlchart.v1.270" hidden="1">([1]Cleaned_Data!$J$67,[1]Cleaned_Data!$L$67)</definedName>
    <definedName name="_xlchart.v1.271" hidden="1">([1]Cleaned_Data!$J$68,[1]Cleaned_Data!$L$68)</definedName>
    <definedName name="_xlchart.v1.272" hidden="1">([1]Cleaned_Data!$J$69,[1]Cleaned_Data!$L$69)</definedName>
    <definedName name="_xlchart.v1.273" hidden="1">([1]Cleaned_Data!$J$7,[1]Cleaned_Data!$L$7)</definedName>
    <definedName name="_xlchart.v1.274" hidden="1">([1]Cleaned_Data!$J$70,[1]Cleaned_Data!$L$70)</definedName>
    <definedName name="_xlchart.v1.275" hidden="1">([1]Cleaned_Data!$J$71,[1]Cleaned_Data!$L$71)</definedName>
    <definedName name="_xlchart.v1.276" hidden="1">([1]Cleaned_Data!$J$72,[1]Cleaned_Data!$L$72)</definedName>
    <definedName name="_xlchart.v1.277" hidden="1">([1]Cleaned_Data!$J$73,[1]Cleaned_Data!$L$73)</definedName>
    <definedName name="_xlchart.v1.278" hidden="1">([1]Cleaned_Data!$J$74,[1]Cleaned_Data!$L$74)</definedName>
    <definedName name="_xlchart.v1.279" hidden="1">([1]Cleaned_Data!$J$75,[1]Cleaned_Data!$L$75)</definedName>
    <definedName name="_xlchart.v1.28" hidden="1">([1]Cleaned_Data!$J$27,[1]Cleaned_Data!$L$27)</definedName>
    <definedName name="_xlchart.v1.280" hidden="1">([1]Cleaned_Data!$J$76,[1]Cleaned_Data!$L$76)</definedName>
    <definedName name="_xlchart.v1.281" hidden="1">([1]Cleaned_Data!$J$77,[1]Cleaned_Data!$L$77)</definedName>
    <definedName name="_xlchart.v1.282" hidden="1">([1]Cleaned_Data!$J$78,[1]Cleaned_Data!$L$78)</definedName>
    <definedName name="_xlchart.v1.283" hidden="1">([1]Cleaned_Data!$J$79,[1]Cleaned_Data!$L$79)</definedName>
    <definedName name="_xlchart.v1.284" hidden="1">([1]Cleaned_Data!$J$8,[1]Cleaned_Data!$L$8)</definedName>
    <definedName name="_xlchart.v1.285" hidden="1">([1]Cleaned_Data!$J$80,[1]Cleaned_Data!$L$80)</definedName>
    <definedName name="_xlchart.v1.286" hidden="1">([1]Cleaned_Data!$J$81,[1]Cleaned_Data!$L$81)</definedName>
    <definedName name="_xlchart.v1.287" hidden="1">([1]Cleaned_Data!$J$82,[1]Cleaned_Data!$L$82)</definedName>
    <definedName name="_xlchart.v1.288" hidden="1">([1]Cleaned_Data!$J$83,[1]Cleaned_Data!$L$83)</definedName>
    <definedName name="_xlchart.v1.289" hidden="1">([1]Cleaned_Data!$J$84,[1]Cleaned_Data!$L$84)</definedName>
    <definedName name="_xlchart.v1.29" hidden="1">([1]Cleaned_Data!$J$28,[1]Cleaned_Data!$L$28)</definedName>
    <definedName name="_xlchart.v1.290" hidden="1">([1]Cleaned_Data!$J$85,[1]Cleaned_Data!$L$85)</definedName>
    <definedName name="_xlchart.v1.291" hidden="1">([1]Cleaned_Data!$J$86,[1]Cleaned_Data!$L$86)</definedName>
    <definedName name="_xlchart.v1.292" hidden="1">([1]Cleaned_Data!$J$87,[1]Cleaned_Data!$L$87)</definedName>
    <definedName name="_xlchart.v1.293" hidden="1">([1]Cleaned_Data!$J$88,[1]Cleaned_Data!$L$88)</definedName>
    <definedName name="_xlchart.v1.294" hidden="1">([1]Cleaned_Data!$J$89,[1]Cleaned_Data!$L$89)</definedName>
    <definedName name="_xlchart.v1.295" hidden="1">([1]Cleaned_Data!$J$9,[1]Cleaned_Data!$L$9)</definedName>
    <definedName name="_xlchart.v1.296" hidden="1">([1]Cleaned_Data!$J$90,[1]Cleaned_Data!$L$90)</definedName>
    <definedName name="_xlchart.v1.297" hidden="1">([1]Cleaned_Data!$J$91,[1]Cleaned_Data!$L$91)</definedName>
    <definedName name="_xlchart.v1.298" hidden="1">([1]Cleaned_Data!$J$92,[1]Cleaned_Data!$L$92)</definedName>
    <definedName name="_xlchart.v1.299" hidden="1">([1]Cleaned_Data!$J$93,[1]Cleaned_Data!$L$93)</definedName>
    <definedName name="_xlchart.v1.3" hidden="1">[1]Cleaned_Data!$I$4:$I$103</definedName>
    <definedName name="_xlchart.v1.30" hidden="1">([1]Cleaned_Data!$J$29,[1]Cleaned_Data!$L$29)</definedName>
    <definedName name="_xlchart.v1.300" hidden="1">([1]Cleaned_Data!$J$94,[1]Cleaned_Data!$L$94)</definedName>
    <definedName name="_xlchart.v1.301" hidden="1">([1]Cleaned_Data!$J$95,[1]Cleaned_Data!$L$95)</definedName>
    <definedName name="_xlchart.v1.302" hidden="1">([1]Cleaned_Data!$J$96,[1]Cleaned_Data!$L$96)</definedName>
    <definedName name="_xlchart.v1.303" hidden="1">([1]Cleaned_Data!$J$97,[1]Cleaned_Data!$L$97)</definedName>
    <definedName name="_xlchart.v1.304" hidden="1">([1]Cleaned_Data!$J$98,[1]Cleaned_Data!$L$98)</definedName>
    <definedName name="_xlchart.v1.305" hidden="1">([1]Cleaned_Data!$J$99,[1]Cleaned_Data!$L$99)</definedName>
    <definedName name="_xlchart.v1.306" hidden="1">([1]Cleaned_Data!$J$10,[1]Cleaned_Data!$L$10)</definedName>
    <definedName name="_xlchart.v1.307" hidden="1">([1]Cleaned_Data!$J$100,[1]Cleaned_Data!$L$100)</definedName>
    <definedName name="_xlchart.v1.308" hidden="1">([1]Cleaned_Data!$J$101,[1]Cleaned_Data!$L$101)</definedName>
    <definedName name="_xlchart.v1.309" hidden="1">([1]Cleaned_Data!$J$102,[1]Cleaned_Data!$L$102)</definedName>
    <definedName name="_xlchart.v1.31" hidden="1">([1]Cleaned_Data!$J$30,[1]Cleaned_Data!$L$30)</definedName>
    <definedName name="_xlchart.v1.310" hidden="1">([1]Cleaned_Data!$J$103,[1]Cleaned_Data!$L$103)</definedName>
    <definedName name="_xlchart.v1.311" hidden="1">([1]Cleaned_Data!$J$11,[1]Cleaned_Data!$L$11)</definedName>
    <definedName name="_xlchart.v1.312" hidden="1">([1]Cleaned_Data!$J$12,[1]Cleaned_Data!$L$12)</definedName>
    <definedName name="_xlchart.v1.313" hidden="1">([1]Cleaned_Data!$J$13,[1]Cleaned_Data!$L$13)</definedName>
    <definedName name="_xlchart.v1.314" hidden="1">([1]Cleaned_Data!$J$14,[1]Cleaned_Data!$L$14)</definedName>
    <definedName name="_xlchart.v1.315" hidden="1">([1]Cleaned_Data!$J$15,[1]Cleaned_Data!$L$15)</definedName>
    <definedName name="_xlchart.v1.316" hidden="1">([1]Cleaned_Data!$J$16,[1]Cleaned_Data!$L$16)</definedName>
    <definedName name="_xlchart.v1.317" hidden="1">([1]Cleaned_Data!$J$17,[1]Cleaned_Data!$L$17)</definedName>
    <definedName name="_xlchart.v1.318" hidden="1">([1]Cleaned_Data!$J$18,[1]Cleaned_Data!$L$18)</definedName>
    <definedName name="_xlchart.v1.319" hidden="1">([1]Cleaned_Data!$J$19,[1]Cleaned_Data!$L$19)</definedName>
    <definedName name="_xlchart.v1.32" hidden="1">([1]Cleaned_Data!$J$31,[1]Cleaned_Data!$L$31)</definedName>
    <definedName name="_xlchart.v1.320" hidden="1">([1]Cleaned_Data!$J$20,[1]Cleaned_Data!$L$20)</definedName>
    <definedName name="_xlchart.v1.321" hidden="1">([1]Cleaned_Data!$J$21,[1]Cleaned_Data!$L$21)</definedName>
    <definedName name="_xlchart.v1.322" hidden="1">([1]Cleaned_Data!$J$22,[1]Cleaned_Data!$L$22)</definedName>
    <definedName name="_xlchart.v1.323" hidden="1">([1]Cleaned_Data!$J$23,[1]Cleaned_Data!$L$23)</definedName>
    <definedName name="_xlchart.v1.324" hidden="1">([1]Cleaned_Data!$J$24,[1]Cleaned_Data!$L$24)</definedName>
    <definedName name="_xlchart.v1.325" hidden="1">([1]Cleaned_Data!$J$25,[1]Cleaned_Data!$L$25)</definedName>
    <definedName name="_xlchart.v1.326" hidden="1">([1]Cleaned_Data!$J$26,[1]Cleaned_Data!$L$26)</definedName>
    <definedName name="_xlchart.v1.327" hidden="1">([1]Cleaned_Data!$J$27,[1]Cleaned_Data!$L$27)</definedName>
    <definedName name="_xlchart.v1.328" hidden="1">([1]Cleaned_Data!$J$28,[1]Cleaned_Data!$L$28)</definedName>
    <definedName name="_xlchart.v1.329" hidden="1">([1]Cleaned_Data!$J$29,[1]Cleaned_Data!$L$29)</definedName>
    <definedName name="_xlchart.v1.33" hidden="1">([1]Cleaned_Data!$J$32,[1]Cleaned_Data!$L$32)</definedName>
    <definedName name="_xlchart.v1.330" hidden="1">([1]Cleaned_Data!$J$30,[1]Cleaned_Data!$L$30)</definedName>
    <definedName name="_xlchart.v1.331" hidden="1">([1]Cleaned_Data!$J$31,[1]Cleaned_Data!$L$31)</definedName>
    <definedName name="_xlchart.v1.332" hidden="1">([1]Cleaned_Data!$J$32,[1]Cleaned_Data!$L$32)</definedName>
    <definedName name="_xlchart.v1.333" hidden="1">([1]Cleaned_Data!$J$33,[1]Cleaned_Data!$L$33)</definedName>
    <definedName name="_xlchart.v1.334" hidden="1">([1]Cleaned_Data!$J$34,[1]Cleaned_Data!$L$34)</definedName>
    <definedName name="_xlchart.v1.335" hidden="1">([1]Cleaned_Data!$J$35,[1]Cleaned_Data!$L$35)</definedName>
    <definedName name="_xlchart.v1.336" hidden="1">([1]Cleaned_Data!$J$36,[1]Cleaned_Data!$L$36)</definedName>
    <definedName name="_xlchart.v1.337" hidden="1">([1]Cleaned_Data!$J$37,[1]Cleaned_Data!$L$37)</definedName>
    <definedName name="_xlchart.v1.338" hidden="1">([1]Cleaned_Data!$J$38,[1]Cleaned_Data!$L$38)</definedName>
    <definedName name="_xlchart.v1.339" hidden="1">([1]Cleaned_Data!$J$39,[1]Cleaned_Data!$L$39)</definedName>
    <definedName name="_xlchart.v1.34" hidden="1">([1]Cleaned_Data!$J$33,[1]Cleaned_Data!$L$33)</definedName>
    <definedName name="_xlchart.v1.340" hidden="1">([1]Cleaned_Data!$J$4,[1]Cleaned_Data!$L$4)</definedName>
    <definedName name="_xlchart.v1.341" hidden="1">([1]Cleaned_Data!$J$40,[1]Cleaned_Data!$L$40)</definedName>
    <definedName name="_xlchart.v1.342" hidden="1">([1]Cleaned_Data!$J$41,[1]Cleaned_Data!$L$41)</definedName>
    <definedName name="_xlchart.v1.343" hidden="1">([1]Cleaned_Data!$J$42,[1]Cleaned_Data!$L$42)</definedName>
    <definedName name="_xlchart.v1.344" hidden="1">([1]Cleaned_Data!$J$43,[1]Cleaned_Data!$L$43)</definedName>
    <definedName name="_xlchart.v1.345" hidden="1">([1]Cleaned_Data!$J$44,[1]Cleaned_Data!$L$44)</definedName>
    <definedName name="_xlchart.v1.346" hidden="1">([1]Cleaned_Data!$J$45,[1]Cleaned_Data!$L$45)</definedName>
    <definedName name="_xlchart.v1.347" hidden="1">([1]Cleaned_Data!$J$46,[1]Cleaned_Data!$L$46)</definedName>
    <definedName name="_xlchart.v1.348" hidden="1">([1]Cleaned_Data!$J$47,[1]Cleaned_Data!$L$47)</definedName>
    <definedName name="_xlchart.v1.349" hidden="1">([1]Cleaned_Data!$J$48,[1]Cleaned_Data!$L$48)</definedName>
    <definedName name="_xlchart.v1.35" hidden="1">([1]Cleaned_Data!$J$34,[1]Cleaned_Data!$L$34)</definedName>
    <definedName name="_xlchart.v1.350" hidden="1">([1]Cleaned_Data!$J$49,[1]Cleaned_Data!$L$49)</definedName>
    <definedName name="_xlchart.v1.351" hidden="1">([1]Cleaned_Data!$J$5,[1]Cleaned_Data!$L$5)</definedName>
    <definedName name="_xlchart.v1.352" hidden="1">([1]Cleaned_Data!$J$50,[1]Cleaned_Data!$L$50)</definedName>
    <definedName name="_xlchart.v1.353" hidden="1">([1]Cleaned_Data!$J$51,[1]Cleaned_Data!$L$51)</definedName>
    <definedName name="_xlchart.v1.354" hidden="1">([1]Cleaned_Data!$J$52,[1]Cleaned_Data!$L$52)</definedName>
    <definedName name="_xlchart.v1.355" hidden="1">([1]Cleaned_Data!$J$53,[1]Cleaned_Data!$L$53)</definedName>
    <definedName name="_xlchart.v1.356" hidden="1">([1]Cleaned_Data!$J$54,[1]Cleaned_Data!$L$54)</definedName>
    <definedName name="_xlchart.v1.357" hidden="1">([1]Cleaned_Data!$J$55,[1]Cleaned_Data!$L$55)</definedName>
    <definedName name="_xlchart.v1.358" hidden="1">([1]Cleaned_Data!$J$56,[1]Cleaned_Data!$L$56)</definedName>
    <definedName name="_xlchart.v1.359" hidden="1">([1]Cleaned_Data!$J$57,[1]Cleaned_Data!$L$57)</definedName>
    <definedName name="_xlchart.v1.36" hidden="1">([1]Cleaned_Data!$J$35,[1]Cleaned_Data!$L$35)</definedName>
    <definedName name="_xlchart.v1.360" hidden="1">([1]Cleaned_Data!$J$58,[1]Cleaned_Data!$L$58)</definedName>
    <definedName name="_xlchart.v1.361" hidden="1">([1]Cleaned_Data!$J$59,[1]Cleaned_Data!$L$59)</definedName>
    <definedName name="_xlchart.v1.362" hidden="1">([1]Cleaned_Data!$J$6,[1]Cleaned_Data!$L$6)</definedName>
    <definedName name="_xlchart.v1.363" hidden="1">([1]Cleaned_Data!$J$60,[1]Cleaned_Data!$L$60)</definedName>
    <definedName name="_xlchart.v1.364" hidden="1">([1]Cleaned_Data!$J$61,[1]Cleaned_Data!$L$61)</definedName>
    <definedName name="_xlchart.v1.365" hidden="1">([1]Cleaned_Data!$J$62,[1]Cleaned_Data!$L$62)</definedName>
    <definedName name="_xlchart.v1.366" hidden="1">([1]Cleaned_Data!$J$63,[1]Cleaned_Data!$L$63)</definedName>
    <definedName name="_xlchart.v1.367" hidden="1">([1]Cleaned_Data!$J$64,[1]Cleaned_Data!$L$64)</definedName>
    <definedName name="_xlchart.v1.368" hidden="1">([1]Cleaned_Data!$J$65,[1]Cleaned_Data!$L$65)</definedName>
    <definedName name="_xlchart.v1.369" hidden="1">([1]Cleaned_Data!$J$66,[1]Cleaned_Data!$L$66)</definedName>
    <definedName name="_xlchart.v1.37" hidden="1">([1]Cleaned_Data!$J$36,[1]Cleaned_Data!$L$36)</definedName>
    <definedName name="_xlchart.v1.370" hidden="1">([1]Cleaned_Data!$J$67,[1]Cleaned_Data!$L$67)</definedName>
    <definedName name="_xlchart.v1.371" hidden="1">([1]Cleaned_Data!$J$68,[1]Cleaned_Data!$L$68)</definedName>
    <definedName name="_xlchart.v1.372" hidden="1">([1]Cleaned_Data!$J$69,[1]Cleaned_Data!$L$69)</definedName>
    <definedName name="_xlchart.v1.373" hidden="1">([1]Cleaned_Data!$J$7,[1]Cleaned_Data!$L$7)</definedName>
    <definedName name="_xlchart.v1.374" hidden="1">([1]Cleaned_Data!$J$70,[1]Cleaned_Data!$L$70)</definedName>
    <definedName name="_xlchart.v1.375" hidden="1">([1]Cleaned_Data!$J$71,[1]Cleaned_Data!$L$71)</definedName>
    <definedName name="_xlchart.v1.376" hidden="1">([1]Cleaned_Data!$J$72,[1]Cleaned_Data!$L$72)</definedName>
    <definedName name="_xlchart.v1.377" hidden="1">([1]Cleaned_Data!$J$73,[1]Cleaned_Data!$L$73)</definedName>
    <definedName name="_xlchart.v1.378" hidden="1">([1]Cleaned_Data!$J$74,[1]Cleaned_Data!$L$74)</definedName>
    <definedName name="_xlchart.v1.379" hidden="1">([1]Cleaned_Data!$J$75,[1]Cleaned_Data!$L$75)</definedName>
    <definedName name="_xlchart.v1.38" hidden="1">([1]Cleaned_Data!$J$37,[1]Cleaned_Data!$L$37)</definedName>
    <definedName name="_xlchart.v1.380" hidden="1">([1]Cleaned_Data!$J$76,[1]Cleaned_Data!$L$76)</definedName>
    <definedName name="_xlchart.v1.381" hidden="1">([1]Cleaned_Data!$J$77,[1]Cleaned_Data!$L$77)</definedName>
    <definedName name="_xlchart.v1.382" hidden="1">([1]Cleaned_Data!$J$78,[1]Cleaned_Data!$L$78)</definedName>
    <definedName name="_xlchart.v1.383" hidden="1">([1]Cleaned_Data!$J$79,[1]Cleaned_Data!$L$79)</definedName>
    <definedName name="_xlchart.v1.384" hidden="1">([1]Cleaned_Data!$J$8,[1]Cleaned_Data!$L$8)</definedName>
    <definedName name="_xlchart.v1.385" hidden="1">([1]Cleaned_Data!$J$80,[1]Cleaned_Data!$L$80)</definedName>
    <definedName name="_xlchart.v1.386" hidden="1">([1]Cleaned_Data!$J$81,[1]Cleaned_Data!$L$81)</definedName>
    <definedName name="_xlchart.v1.387" hidden="1">([1]Cleaned_Data!$J$82,[1]Cleaned_Data!$L$82)</definedName>
    <definedName name="_xlchart.v1.388" hidden="1">([1]Cleaned_Data!$J$83,[1]Cleaned_Data!$L$83)</definedName>
    <definedName name="_xlchart.v1.389" hidden="1">([1]Cleaned_Data!$J$84,[1]Cleaned_Data!$L$84)</definedName>
    <definedName name="_xlchart.v1.39" hidden="1">([1]Cleaned_Data!$J$38,[1]Cleaned_Data!$L$38)</definedName>
    <definedName name="_xlchart.v1.390" hidden="1">([1]Cleaned_Data!$J$85,[1]Cleaned_Data!$L$85)</definedName>
    <definedName name="_xlchart.v1.391" hidden="1">([1]Cleaned_Data!$J$86,[1]Cleaned_Data!$L$86)</definedName>
    <definedName name="_xlchart.v1.392" hidden="1">([1]Cleaned_Data!$J$87,[1]Cleaned_Data!$L$87)</definedName>
    <definedName name="_xlchart.v1.393" hidden="1">([1]Cleaned_Data!$J$88,[1]Cleaned_Data!$L$88)</definedName>
    <definedName name="_xlchart.v1.394" hidden="1">([1]Cleaned_Data!$J$89,[1]Cleaned_Data!$L$89)</definedName>
    <definedName name="_xlchart.v1.395" hidden="1">([1]Cleaned_Data!$J$9,[1]Cleaned_Data!$L$9)</definedName>
    <definedName name="_xlchart.v1.396" hidden="1">([1]Cleaned_Data!$J$90,[1]Cleaned_Data!$L$90)</definedName>
    <definedName name="_xlchart.v1.397" hidden="1">([1]Cleaned_Data!$J$91,[1]Cleaned_Data!$L$91)</definedName>
    <definedName name="_xlchart.v1.398" hidden="1">([1]Cleaned_Data!$J$92,[1]Cleaned_Data!$L$92)</definedName>
    <definedName name="_xlchart.v1.399" hidden="1">([1]Cleaned_Data!$J$93,[1]Cleaned_Data!$L$93)</definedName>
    <definedName name="_xlchart.v1.4" hidden="1">[1]Cleaned_Data!$E$4:$E$103</definedName>
    <definedName name="_xlchart.v1.40" hidden="1">([1]Cleaned_Data!$J$39,[1]Cleaned_Data!$L$39)</definedName>
    <definedName name="_xlchart.v1.400" hidden="1">([1]Cleaned_Data!$J$94,[1]Cleaned_Data!$L$94)</definedName>
    <definedName name="_xlchart.v1.401" hidden="1">([1]Cleaned_Data!$J$95,[1]Cleaned_Data!$L$95)</definedName>
    <definedName name="_xlchart.v1.402" hidden="1">([1]Cleaned_Data!$J$96,[1]Cleaned_Data!$L$96)</definedName>
    <definedName name="_xlchart.v1.403" hidden="1">([1]Cleaned_Data!$J$97,[1]Cleaned_Data!$L$97)</definedName>
    <definedName name="_xlchart.v1.404" hidden="1">([1]Cleaned_Data!$J$98,[1]Cleaned_Data!$L$98)</definedName>
    <definedName name="_xlchart.v1.405" hidden="1">([1]Cleaned_Data!$J$99,[1]Cleaned_Data!$L$99)</definedName>
    <definedName name="_xlchart.v1.406" hidden="1">[1]Summary_Stats!$D$5:$D$9</definedName>
    <definedName name="_xlchart.v1.407" hidden="1">[1]Summary_Stats!$E$5:$E$9</definedName>
    <definedName name="_xlchart.v1.408" hidden="1">[1]Summary_Stats!$D$5:$D$9</definedName>
    <definedName name="_xlchart.v1.409" hidden="1">[1]Summary_Stats!$E$5:$E$9</definedName>
    <definedName name="_xlchart.v1.41" hidden="1">([1]Cleaned_Data!$J$4,[1]Cleaned_Data!$L$4)</definedName>
    <definedName name="_xlchart.v1.42" hidden="1">([1]Cleaned_Data!$J$40,[1]Cleaned_Data!$L$40)</definedName>
    <definedName name="_xlchart.v1.43" hidden="1">([1]Cleaned_Data!$J$41,[1]Cleaned_Data!$L$41)</definedName>
    <definedName name="_xlchart.v1.44" hidden="1">([1]Cleaned_Data!$J$42,[1]Cleaned_Data!$L$42)</definedName>
    <definedName name="_xlchart.v1.45" hidden="1">([1]Cleaned_Data!$J$43,[1]Cleaned_Data!$L$43)</definedName>
    <definedName name="_xlchart.v1.46" hidden="1">([1]Cleaned_Data!$J$44,[1]Cleaned_Data!$L$44)</definedName>
    <definedName name="_xlchart.v1.47" hidden="1">([1]Cleaned_Data!$J$45,[1]Cleaned_Data!$L$45)</definedName>
    <definedName name="_xlchart.v1.48" hidden="1">([1]Cleaned_Data!$J$46,[1]Cleaned_Data!$L$46)</definedName>
    <definedName name="_xlchart.v1.49" hidden="1">([1]Cleaned_Data!$J$47,[1]Cleaned_Data!$L$47)</definedName>
    <definedName name="_xlchart.v1.5" hidden="1">[1]Cleaned_Data!$I$4:$I$103</definedName>
    <definedName name="_xlchart.v1.50" hidden="1">([1]Cleaned_Data!$J$48,[1]Cleaned_Data!$L$48)</definedName>
    <definedName name="_xlchart.v1.51" hidden="1">([1]Cleaned_Data!$J$49,[1]Cleaned_Data!$L$49)</definedName>
    <definedName name="_xlchart.v1.52" hidden="1">([1]Cleaned_Data!$J$50,[1]Cleaned_Data!$L$50)</definedName>
    <definedName name="_xlchart.v1.53" hidden="1">([1]Cleaned_Data!$J$51,[1]Cleaned_Data!$L$51)</definedName>
    <definedName name="_xlchart.v1.54" hidden="1">([1]Cleaned_Data!$J$52,[1]Cleaned_Data!$L$52)</definedName>
    <definedName name="_xlchart.v1.55" hidden="1">([1]Cleaned_Data!$J$53,[1]Cleaned_Data!$L$53)</definedName>
    <definedName name="_xlchart.v1.56" hidden="1">([1]Cleaned_Data!$J$54,[1]Cleaned_Data!$L$54)</definedName>
    <definedName name="_xlchart.v1.57" hidden="1">([1]Cleaned_Data!$J$55,[1]Cleaned_Data!$L$55)</definedName>
    <definedName name="_xlchart.v1.58" hidden="1">([1]Cleaned_Data!$J$56,[1]Cleaned_Data!$L$56)</definedName>
    <definedName name="_xlchart.v1.59" hidden="1">([1]Cleaned_Data!$J$57,[1]Cleaned_Data!$L$57)</definedName>
    <definedName name="_xlchart.v1.6" hidden="1">'Cleaned data'!$J$4:$J$103</definedName>
    <definedName name="_xlchart.v1.60" hidden="1">([1]Cleaned_Data!$J$58,[1]Cleaned_Data!$L$58)</definedName>
    <definedName name="_xlchart.v1.61" hidden="1">([1]Cleaned_Data!$J$59,[1]Cleaned_Data!$L$59)</definedName>
    <definedName name="_xlchart.v1.62" hidden="1">([1]Cleaned_Data!$J$6,[1]Cleaned_Data!$L$6)</definedName>
    <definedName name="_xlchart.v1.63" hidden="1">([1]Cleaned_Data!$J$60,[1]Cleaned_Data!$L$60)</definedName>
    <definedName name="_xlchart.v1.64" hidden="1">([1]Cleaned_Data!$J$61,[1]Cleaned_Data!$L$61)</definedName>
    <definedName name="_xlchart.v1.65" hidden="1">([1]Cleaned_Data!$J$62,[1]Cleaned_Data!$L$62)</definedName>
    <definedName name="_xlchart.v1.66" hidden="1">([1]Cleaned_Data!$J$63,[1]Cleaned_Data!$L$63)</definedName>
    <definedName name="_xlchart.v1.67" hidden="1">([1]Cleaned_Data!$J$64,[1]Cleaned_Data!$L$64)</definedName>
    <definedName name="_xlchart.v1.68" hidden="1">([1]Cleaned_Data!$J$65,[1]Cleaned_Data!$L$65)</definedName>
    <definedName name="_xlchart.v1.69" hidden="1">([1]Cleaned_Data!$J$66,[1]Cleaned_Data!$L$66)</definedName>
    <definedName name="_xlchart.v1.7" hidden="1">([1]Cleaned_Data!$J$10,[1]Cleaned_Data!$L$10)</definedName>
    <definedName name="_xlchart.v1.70" hidden="1">([1]Cleaned_Data!$J$67,[1]Cleaned_Data!$L$67)</definedName>
    <definedName name="_xlchart.v1.71" hidden="1">([1]Cleaned_Data!$J$68,[1]Cleaned_Data!$L$68)</definedName>
    <definedName name="_xlchart.v1.72" hidden="1">([1]Cleaned_Data!$J$69,[1]Cleaned_Data!$L$69)</definedName>
    <definedName name="_xlchart.v1.73" hidden="1">([1]Cleaned_Data!$J$7,[1]Cleaned_Data!$L$7)</definedName>
    <definedName name="_xlchart.v1.74" hidden="1">([1]Cleaned_Data!$J$70,[1]Cleaned_Data!$L$70)</definedName>
    <definedName name="_xlchart.v1.75" hidden="1">([1]Cleaned_Data!$J$71,[1]Cleaned_Data!$L$71)</definedName>
    <definedName name="_xlchart.v1.76" hidden="1">([1]Cleaned_Data!$J$72,[1]Cleaned_Data!$L$72)</definedName>
    <definedName name="_xlchart.v1.77" hidden="1">([1]Cleaned_Data!$J$73,[1]Cleaned_Data!$L$73)</definedName>
    <definedName name="_xlchart.v1.78" hidden="1">([1]Cleaned_Data!$J$74,[1]Cleaned_Data!$L$74)</definedName>
    <definedName name="_xlchart.v1.79" hidden="1">([1]Cleaned_Data!$J$75,[1]Cleaned_Data!$L$75)</definedName>
    <definedName name="_xlchart.v1.8" hidden="1">([1]Cleaned_Data!$J$100,[1]Cleaned_Data!$L$100)</definedName>
    <definedName name="_xlchart.v1.80" hidden="1">([1]Cleaned_Data!$J$76,[1]Cleaned_Data!$L$76)</definedName>
    <definedName name="_xlchart.v1.81" hidden="1">([1]Cleaned_Data!$J$77,[1]Cleaned_Data!$L$77)</definedName>
    <definedName name="_xlchart.v1.82" hidden="1">([1]Cleaned_Data!$J$78,[1]Cleaned_Data!$L$78)</definedName>
    <definedName name="_xlchart.v1.83" hidden="1">([1]Cleaned_Data!$J$79,[1]Cleaned_Data!$L$79)</definedName>
    <definedName name="_xlchart.v1.84" hidden="1">([1]Cleaned_Data!$J$8,[1]Cleaned_Data!$L$8)</definedName>
    <definedName name="_xlchart.v1.85" hidden="1">([1]Cleaned_Data!$J$80,[1]Cleaned_Data!$L$80)</definedName>
    <definedName name="_xlchart.v1.86" hidden="1">([1]Cleaned_Data!$J$81,[1]Cleaned_Data!$L$81)</definedName>
    <definedName name="_xlchart.v1.87" hidden="1">([1]Cleaned_Data!$J$82,[1]Cleaned_Data!$L$82)</definedName>
    <definedName name="_xlchart.v1.88" hidden="1">([1]Cleaned_Data!$J$83,[1]Cleaned_Data!$L$83)</definedName>
    <definedName name="_xlchart.v1.89" hidden="1">([1]Cleaned_Data!$J$84,[1]Cleaned_Data!$L$84)</definedName>
    <definedName name="_xlchart.v1.9" hidden="1">([1]Cleaned_Data!$J$101,[1]Cleaned_Data!$L$101)</definedName>
    <definedName name="_xlchart.v1.90" hidden="1">([1]Cleaned_Data!$J$85,[1]Cleaned_Data!$L$85)</definedName>
    <definedName name="_xlchart.v1.91" hidden="1">([1]Cleaned_Data!$J$86,[1]Cleaned_Data!$L$86)</definedName>
    <definedName name="_xlchart.v1.92" hidden="1">([1]Cleaned_Data!$J$87,[1]Cleaned_Data!$L$87)</definedName>
    <definedName name="_xlchart.v1.93" hidden="1">([1]Cleaned_Data!$J$88,[1]Cleaned_Data!$L$88)</definedName>
    <definedName name="_xlchart.v1.94" hidden="1">([1]Cleaned_Data!$J$89,[1]Cleaned_Data!$L$89)</definedName>
    <definedName name="_xlchart.v1.95" hidden="1">([1]Cleaned_Data!$J$9,[1]Cleaned_Data!$L$9)</definedName>
    <definedName name="_xlchart.v1.96" hidden="1">([1]Cleaned_Data!$J$90,[1]Cleaned_Data!$L$90)</definedName>
    <definedName name="_xlchart.v1.97" hidden="1">([1]Cleaned_Data!$J$91,[1]Cleaned_Data!$L$91)</definedName>
    <definedName name="_xlchart.v1.98" hidden="1">([1]Cleaned_Data!$J$92,[1]Cleaned_Data!$L$92)</definedName>
    <definedName name="_xlchart.v1.99" hidden="1">([1]Cleaned_Data!$J$93,[1]Cleaned_Data!$L$93)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0" l="1"/>
  <c r="F11" i="10"/>
  <c r="F10" i="10"/>
  <c r="E11" i="10"/>
  <c r="E10" i="10"/>
  <c r="E9" i="10"/>
  <c r="D11" i="10"/>
  <c r="D10" i="10"/>
  <c r="D9" i="10"/>
  <c r="D8" i="10"/>
  <c r="C11" i="10"/>
  <c r="C10" i="10"/>
  <c r="C9" i="10"/>
  <c r="C8" i="10"/>
  <c r="C7" i="10"/>
  <c r="B11" i="10"/>
  <c r="B10" i="10"/>
  <c r="B9" i="10"/>
  <c r="B8" i="10"/>
  <c r="B7" i="10"/>
  <c r="B6" i="10"/>
  <c r="E55" i="4"/>
  <c r="E54" i="4"/>
  <c r="E53" i="4"/>
  <c r="E52" i="4"/>
  <c r="E51" i="4"/>
  <c r="C123" i="3"/>
  <c r="C122" i="3"/>
  <c r="C121" i="3"/>
  <c r="C120" i="3"/>
  <c r="C119" i="3"/>
  <c r="H46" i="4"/>
  <c r="H45" i="4"/>
  <c r="H44" i="4"/>
  <c r="H43" i="4"/>
  <c r="L112" i="3"/>
  <c r="L111" i="3"/>
  <c r="L110" i="3"/>
  <c r="L109" i="3"/>
  <c r="C112" i="3"/>
  <c r="B7" i="4" s="1"/>
  <c r="E45" i="4"/>
  <c r="E44" i="4"/>
  <c r="B48" i="4"/>
  <c r="B47" i="4"/>
  <c r="B46" i="4"/>
  <c r="B45" i="4"/>
  <c r="B44" i="4"/>
  <c r="B8" i="4"/>
  <c r="B6" i="4"/>
  <c r="B5" i="4"/>
  <c r="B4" i="4"/>
  <c r="C111" i="3"/>
  <c r="I111" i="3"/>
  <c r="I110" i="3"/>
  <c r="F114" i="3"/>
  <c r="F113" i="3"/>
  <c r="F112" i="3"/>
  <c r="F111" i="3"/>
  <c r="F110" i="3"/>
  <c r="C113" i="3"/>
  <c r="C110" i="3"/>
  <c r="C109" i="3"/>
  <c r="N103" i="3"/>
  <c r="M103" i="3"/>
  <c r="N102" i="3"/>
  <c r="M102" i="3"/>
  <c r="N101" i="3"/>
  <c r="M101" i="3"/>
  <c r="N100" i="3"/>
  <c r="M100" i="3"/>
  <c r="N99" i="3"/>
  <c r="M99" i="3"/>
  <c r="N98" i="3"/>
  <c r="M98" i="3"/>
  <c r="N97" i="3"/>
  <c r="M97" i="3"/>
  <c r="N96" i="3"/>
  <c r="M96" i="3"/>
  <c r="N95" i="3"/>
  <c r="M95" i="3"/>
  <c r="N94" i="3"/>
  <c r="M94" i="3"/>
  <c r="N93" i="3"/>
  <c r="M93" i="3"/>
  <c r="N92" i="3"/>
  <c r="M92" i="3"/>
  <c r="N91" i="3"/>
  <c r="M91" i="3"/>
  <c r="N90" i="3"/>
  <c r="M90" i="3"/>
  <c r="N89" i="3"/>
  <c r="M89" i="3"/>
  <c r="N88" i="3"/>
  <c r="M88" i="3"/>
  <c r="N87" i="3"/>
  <c r="M87" i="3"/>
  <c r="N86" i="3"/>
  <c r="M86" i="3"/>
  <c r="N85" i="3"/>
  <c r="M85" i="3"/>
  <c r="N84" i="3"/>
  <c r="M84" i="3"/>
  <c r="N83" i="3"/>
  <c r="M83" i="3"/>
  <c r="N82" i="3"/>
  <c r="M82" i="3"/>
  <c r="N81" i="3"/>
  <c r="M81" i="3"/>
  <c r="N80" i="3"/>
  <c r="M80" i="3"/>
  <c r="N79" i="3"/>
  <c r="M79" i="3"/>
  <c r="N78" i="3"/>
  <c r="M78" i="3"/>
  <c r="N77" i="3"/>
  <c r="M77" i="3"/>
  <c r="N76" i="3"/>
  <c r="M76" i="3"/>
  <c r="N75" i="3"/>
  <c r="M75" i="3"/>
  <c r="N74" i="3"/>
  <c r="M74" i="3"/>
  <c r="N73" i="3"/>
  <c r="M73" i="3"/>
  <c r="N72" i="3"/>
  <c r="M72" i="3"/>
  <c r="N71" i="3"/>
  <c r="M71" i="3"/>
  <c r="N70" i="3"/>
  <c r="M70" i="3"/>
  <c r="N69" i="3"/>
  <c r="M69" i="3"/>
  <c r="N68" i="3"/>
  <c r="M68" i="3"/>
  <c r="N67" i="3"/>
  <c r="M67" i="3"/>
  <c r="N66" i="3"/>
  <c r="M66" i="3"/>
  <c r="N65" i="3"/>
  <c r="M65" i="3"/>
  <c r="N64" i="3"/>
  <c r="M64" i="3"/>
  <c r="N63" i="3"/>
  <c r="M63" i="3"/>
  <c r="N62" i="3"/>
  <c r="M62" i="3"/>
  <c r="N61" i="3"/>
  <c r="M61" i="3"/>
  <c r="N60" i="3"/>
  <c r="M60" i="3"/>
  <c r="N59" i="3"/>
  <c r="M59" i="3"/>
  <c r="N58" i="3"/>
  <c r="M58" i="3"/>
  <c r="N57" i="3"/>
  <c r="M57" i="3"/>
  <c r="N56" i="3"/>
  <c r="M56" i="3"/>
  <c r="N55" i="3"/>
  <c r="M55" i="3"/>
  <c r="N54" i="3"/>
  <c r="M54" i="3"/>
  <c r="N53" i="3"/>
  <c r="M53" i="3"/>
  <c r="N52" i="3"/>
  <c r="M52" i="3"/>
  <c r="N51" i="3"/>
  <c r="M51" i="3"/>
  <c r="N50" i="3"/>
  <c r="M50" i="3"/>
  <c r="N49" i="3"/>
  <c r="M49" i="3"/>
  <c r="N48" i="3"/>
  <c r="M48" i="3"/>
  <c r="N47" i="3"/>
  <c r="M47" i="3"/>
  <c r="N46" i="3"/>
  <c r="M46" i="3"/>
  <c r="N45" i="3"/>
  <c r="M45" i="3"/>
  <c r="N44" i="3"/>
  <c r="M44" i="3"/>
  <c r="N43" i="3"/>
  <c r="M43" i="3"/>
  <c r="N42" i="3"/>
  <c r="M42" i="3"/>
  <c r="N41" i="3"/>
  <c r="M41" i="3"/>
  <c r="N40" i="3"/>
  <c r="M40" i="3"/>
  <c r="N39" i="3"/>
  <c r="M39" i="3"/>
  <c r="N38" i="3"/>
  <c r="M38" i="3"/>
  <c r="N37" i="3"/>
  <c r="M37" i="3"/>
  <c r="N36" i="3"/>
  <c r="M36" i="3"/>
  <c r="N35" i="3"/>
  <c r="M35" i="3"/>
  <c r="N34" i="3"/>
  <c r="M34" i="3"/>
  <c r="N33" i="3"/>
  <c r="M33" i="3"/>
  <c r="N32" i="3"/>
  <c r="M32" i="3"/>
  <c r="N31" i="3"/>
  <c r="M31" i="3"/>
  <c r="N30" i="3"/>
  <c r="M30" i="3"/>
  <c r="N29" i="3"/>
  <c r="M29" i="3"/>
  <c r="N28" i="3"/>
  <c r="M28" i="3"/>
  <c r="N27" i="3"/>
  <c r="M27" i="3"/>
  <c r="N26" i="3"/>
  <c r="M26" i="3"/>
  <c r="N25" i="3"/>
  <c r="M25" i="3"/>
  <c r="N24" i="3"/>
  <c r="M24" i="3"/>
  <c r="N23" i="3"/>
  <c r="M23" i="3"/>
  <c r="N22" i="3"/>
  <c r="M22" i="3"/>
  <c r="N21" i="3"/>
  <c r="M21" i="3"/>
  <c r="N20" i="3"/>
  <c r="M20" i="3"/>
  <c r="N19" i="3"/>
  <c r="M19" i="3"/>
  <c r="N18" i="3"/>
  <c r="M18" i="3"/>
  <c r="N17" i="3"/>
  <c r="M17" i="3"/>
  <c r="N16" i="3"/>
  <c r="M16" i="3"/>
  <c r="N15" i="3"/>
  <c r="M15" i="3"/>
  <c r="N14" i="3"/>
  <c r="M14" i="3"/>
  <c r="N13" i="3"/>
  <c r="M13" i="3"/>
  <c r="N12" i="3"/>
  <c r="M12" i="3"/>
  <c r="N11" i="3"/>
  <c r="M11" i="3"/>
  <c r="N10" i="3"/>
  <c r="M10" i="3"/>
  <c r="N9" i="3"/>
  <c r="M9" i="3"/>
  <c r="N8" i="3"/>
  <c r="M8" i="3"/>
  <c r="N7" i="3"/>
  <c r="M7" i="3"/>
  <c r="N6" i="3"/>
  <c r="M6" i="3"/>
  <c r="N5" i="3"/>
  <c r="M5" i="3"/>
  <c r="N4" i="3"/>
  <c r="M4" i="3"/>
</calcChain>
</file>

<file path=xl/sharedStrings.xml><?xml version="1.0" encoding="utf-8"?>
<sst xmlns="http://schemas.openxmlformats.org/spreadsheetml/2006/main" count="1157" uniqueCount="154">
  <si>
    <t xml:space="preserve">Topic and Business Objective </t>
  </si>
  <si>
    <t>Business objective</t>
  </si>
  <si>
    <t>Main analytical question</t>
  </si>
  <si>
    <t xml:space="preserve">Chosen Topic </t>
  </si>
  <si>
    <t>Business Objective</t>
  </si>
  <si>
    <t xml:space="preserve">Tools Used </t>
  </si>
  <si>
    <t xml:space="preserve">Validating a premium perfume startup using synthetic consumer data </t>
  </si>
  <si>
    <t xml:space="preserve">Why Synthetic Data was used </t>
  </si>
  <si>
    <t>The startup is hypothetical so synthetic data was generated to stimulate realistic consumer behaviour before launch</t>
  </si>
  <si>
    <t>Dataset Size</t>
  </si>
  <si>
    <t>100 customer records with demographic, purchasing and perception variables</t>
  </si>
  <si>
    <t>Excel- based descriptive analytics, correlation analysis and charts</t>
  </si>
  <si>
    <t>Which customer segments, fragrance preferences and behavioural factors suggest the strongest launch potential?</t>
  </si>
  <si>
    <t>Variables used in the dataset</t>
  </si>
  <si>
    <t>Column</t>
  </si>
  <si>
    <t>Meaning</t>
  </si>
  <si>
    <t>Example</t>
  </si>
  <si>
    <t>Unique identifier for each sythetic customer</t>
  </si>
  <si>
    <t>Age</t>
  </si>
  <si>
    <t xml:space="preserve">Customer age in years </t>
  </si>
  <si>
    <t>Gender</t>
  </si>
  <si>
    <t>Customer gender category</t>
  </si>
  <si>
    <t>Female</t>
  </si>
  <si>
    <t>City</t>
  </si>
  <si>
    <t>Customer ID</t>
  </si>
  <si>
    <t>Monthly Income</t>
  </si>
  <si>
    <t>Preferred Fragrance</t>
  </si>
  <si>
    <t>Shopping Channel</t>
  </si>
  <si>
    <t>Purchase frequency per year</t>
  </si>
  <si>
    <t>Willingness to pay</t>
  </si>
  <si>
    <t>Influencer Impact</t>
  </si>
  <si>
    <t>Brand Awareness</t>
  </si>
  <si>
    <t>Purchase Likelihood</t>
  </si>
  <si>
    <t>Primary city of residence</t>
  </si>
  <si>
    <t>Estimated monthly income in INR</t>
  </si>
  <si>
    <t>Most preferred fragrance family</t>
  </si>
  <si>
    <t>Preferred purchase channel</t>
  </si>
  <si>
    <t>Perfume purchases per year</t>
  </si>
  <si>
    <t>Amount customer is willing to pay per bottle (INR)</t>
  </si>
  <si>
    <t>Influence of creators/social media on buying</t>
  </si>
  <si>
    <t>Awareness of perfume fragrance brands(1-5)</t>
  </si>
  <si>
    <t>Likelihood of buying from the startup(1-5)</t>
  </si>
  <si>
    <t>Delhi</t>
  </si>
  <si>
    <t>Woody</t>
  </si>
  <si>
    <t>Online</t>
  </si>
  <si>
    <t>Premium Perfume startup- Individual Data Analytics Assignment Workbook  By Harshitaa Sansanwal (MS25MM097)</t>
  </si>
  <si>
    <t>Assignment Workflow Completed in this Workbook</t>
  </si>
  <si>
    <t>1. Generated 100 synthetic customer records for a premium perfume startup.</t>
  </si>
  <si>
    <t>2. Created a raw dataset containing a few realistic inconsistencies (spacing/casing/missing values).</t>
  </si>
  <si>
    <t>3. Cleaned and standardised the data in a separate sheet and documented each cleaning action.</t>
  </si>
  <si>
    <t>4. Calculated descriptive statistics, frequency tables, and correlation measures using formulas.</t>
  </si>
  <si>
    <t>5. Built charts to explain fragrance demand, channel preference, price potential, and purchase likelihood.</t>
  </si>
  <si>
    <t>6. Added ready-to-use report notes summarising the logic, findings, and conclusion.</t>
  </si>
  <si>
    <t>Key Findings from the Analysis</t>
  </si>
  <si>
    <t>Higher monthly income is positively associated with willingness to pay for perfume.</t>
  </si>
  <si>
    <t>Brand awareness and influencer impact both show positive relationships with purchase likelihood.</t>
  </si>
  <si>
    <t>Offline shopping is slightly more common than online shopping in this synthetic target market.</t>
  </si>
  <si>
    <t>Floral and woody fragrances emerge as the strongest launch candidates for the startup.</t>
  </si>
  <si>
    <t>Raw Synthetic Data (with a few realistic inconsistencies)</t>
  </si>
  <si>
    <t>Customer Id</t>
  </si>
  <si>
    <t>Purchase Frequency per year</t>
  </si>
  <si>
    <t>Purchase likelihood</t>
  </si>
  <si>
    <t>Male</t>
  </si>
  <si>
    <t>Other</t>
  </si>
  <si>
    <t>Hyderabad</t>
  </si>
  <si>
    <t>Bangalore</t>
  </si>
  <si>
    <t>Mumbai</t>
  </si>
  <si>
    <t>Pune</t>
  </si>
  <si>
    <t xml:space="preserve">hyderabad </t>
  </si>
  <si>
    <t xml:space="preserve">mumbai </t>
  </si>
  <si>
    <t xml:space="preserve">bangalore </t>
  </si>
  <si>
    <t>Fresh</t>
  </si>
  <si>
    <t>Offline</t>
  </si>
  <si>
    <t>Oriental</t>
  </si>
  <si>
    <t>Citrus</t>
  </si>
  <si>
    <t xml:space="preserve">fresh  </t>
  </si>
  <si>
    <t>Floral</t>
  </si>
  <si>
    <t xml:space="preserve">OFFLINE </t>
  </si>
  <si>
    <t xml:space="preserve">floral  </t>
  </si>
  <si>
    <t xml:space="preserve">ONLINE </t>
  </si>
  <si>
    <t xml:space="preserve">woody  </t>
  </si>
  <si>
    <t>Cleaned and Standardised Dataset Used for Analysis</t>
  </si>
  <si>
    <t xml:space="preserve">Age group </t>
  </si>
  <si>
    <t>Income segment</t>
  </si>
  <si>
    <t>The raw sheet contains a few deliberate inconsistencies to demonstrate a proper data-cleaning workflow. The cleaned sheet standardises text values and fills missing numeric values using reasonable replacement values. This makes the data ready for descriptive analytics, EDA, and correlation analysis.</t>
  </si>
  <si>
    <t>Descriptive Analytics and EDA Summary</t>
  </si>
  <si>
    <t>Key KPIs</t>
  </si>
  <si>
    <t>Total customers</t>
  </si>
  <si>
    <t>Average age</t>
  </si>
  <si>
    <t>Average monthly income (INR)</t>
  </si>
  <si>
    <t>Average willingness to pay (INR)</t>
  </si>
  <si>
    <t>Average purchase likelihood</t>
  </si>
  <si>
    <t>Most preferred fragrance</t>
  </si>
  <si>
    <t>Most common shopping channel</t>
  </si>
  <si>
    <t>Fragrance Preference Frequency</t>
  </si>
  <si>
    <t>Shopping Channel Frequency</t>
  </si>
  <si>
    <t>Mean</t>
  </si>
  <si>
    <t>Standard Error</t>
  </si>
  <si>
    <t>Median</t>
  </si>
  <si>
    <t>Mode</t>
  </si>
  <si>
    <t>Standard Deviation</t>
  </si>
  <si>
    <t>Sample Variance</t>
  </si>
  <si>
    <t>Kurtosis</t>
  </si>
  <si>
    <t>Skewness</t>
  </si>
  <si>
    <t>Range</t>
  </si>
  <si>
    <t>Minimum</t>
  </si>
  <si>
    <t>Maximum</t>
  </si>
  <si>
    <t>Sum</t>
  </si>
  <si>
    <t>Count</t>
  </si>
  <si>
    <t>Largest(2)</t>
  </si>
  <si>
    <t>Smallest(2)</t>
  </si>
  <si>
    <t>Influencer impact</t>
  </si>
  <si>
    <t>18-24</t>
  </si>
  <si>
    <t>25-30</t>
  </si>
  <si>
    <t>31-36</t>
  </si>
  <si>
    <t>37-45</t>
  </si>
  <si>
    <t>Purchase Likelihood by Age Frequency</t>
  </si>
  <si>
    <t>Short Interpretation</t>
  </si>
  <si>
    <t>The dataset suggests a premium urban target market with good buying potential.</t>
  </si>
  <si>
    <t>Average willingness to pay supports a premium-but-accessible perfume price point.</t>
  </si>
  <si>
    <t>Fragrance counts highlight the categories that should be prioritised at launch.</t>
  </si>
  <si>
    <t>Age-group and channel summaries support focused customer targeting.</t>
  </si>
  <si>
    <t>Avg Willingness to Pay by City</t>
  </si>
  <si>
    <t>To test whether a new prermium perfume brand can attract urban young professionals and identify which factors most strongly influence purchase likelihood.</t>
  </si>
  <si>
    <t xml:space="preserve">Correlation Analysis </t>
  </si>
  <si>
    <t>Correlation matrix using Excel CORREL formulas</t>
  </si>
  <si>
    <t>Interpretations</t>
  </si>
  <si>
    <t>Strong positive</t>
  </si>
  <si>
    <t>Weak/Neutral</t>
  </si>
  <si>
    <t xml:space="preserve">Use </t>
  </si>
  <si>
    <t>Values closer to +1.000 show a strong direct relationship.</t>
  </si>
  <si>
    <t>Values near 0.000 show little linear relationship.</t>
  </si>
  <si>
    <t>The most important relationships are income vs willingness to pay and awareness/influencer impact vs purchase likelihood.</t>
  </si>
  <si>
    <t>Graphs with Business Interpretation</t>
  </si>
  <si>
    <t xml:space="preserve">All charts below are based on the cleaned analytical dataset															</t>
  </si>
  <si>
    <t>Bar chart interpretation: Floral and woody fragrances have the highest counts, so these are the strongest candidates for the startup’s first product line.</t>
  </si>
  <si>
    <t>Pie chart interpretation: Offline shopping is slightly higher than online shopping, so an omnichannel launch with strong digital promotion would fit this market.</t>
  </si>
  <si>
    <t>Age-group interpretation: Mid-young adult groups show strong buying interest, making them a practical primary target segment.</t>
  </si>
  <si>
    <t>Interpretation: Customers with higher influencer impact tend to show higher purchase likelihood, supporting influencer-led promotion.</t>
  </si>
  <si>
    <t>Interpretation: The upward pattern suggests that higher-income customers are generally willing to pay more for perfume.</t>
  </si>
  <si>
    <t>Introduction</t>
  </si>
  <si>
    <t xml:space="preserve"> Report </t>
  </si>
  <si>
    <t>This project evaluates the business potential of a premium perfume startup using synthetic consumer data. Because the startup is hypothetical and no historical data exists, a synthetic dataset was created to simulate realistic customer demographics, income levels, fragrance preferences, purchase behaviour, and purchase intention.</t>
  </si>
  <si>
    <t>The objective is to understand whether a premium perfume brand can attract enough demand in an urban target market and to identify the variables that most strongly influence willingness to pay and purchase likelihood.</t>
  </si>
  <si>
    <t>Synthetic data generation</t>
  </si>
  <si>
    <t>A dataset of 100 customer records was generated. The variables were designed to reflect likely market conditions for a perfume startup, including age, city, monthly income, preferred fragrance family, shopping channel, influencer impact, brand awareness, willingness to pay, and purchase likelihood.</t>
  </si>
  <si>
    <t>Data cleaning and transformation</t>
  </si>
  <si>
    <t>Descriptive analytics and EDA</t>
  </si>
  <si>
    <t>Descriptive statistics show a target market with moderate to high purchasing power. Frequency analysis suggests that floral and woody fragrances are the most preferred categories. Shopping-channel analysis shows slightly higher offline buying, which supports an omnichannel strategy with strong digital promotion. Average willingness to pay supports a premium-but-accessible pricing strategy.</t>
  </si>
  <si>
    <t>Correlation insight</t>
  </si>
  <si>
    <t>Correlation analysis indicates a positive relationship between monthly income and willingness to pay. Brand awareness and influencer impact also show positive relationships with purchase likelihood, which means promotion and visibility are likely to matter for conversion.</t>
  </si>
  <si>
    <t>Conclusion</t>
  </si>
  <si>
    <t>Overall, the synthetic analysis supports the viability of the perfume startup idea. The findings suggest that the business should focus on strong fragrance positioning around floral and woody families, combined with an omnichannel sales approach and brand-building efforts targeted at urban consumers with medium to high income.</t>
  </si>
  <si>
    <t>The raw dataset was reviewed for formatting inconsistencies and missing values. Text labels were standardised by correcting spacing and letter case. Missing Brand Awareness values were replaced with the median value of 4, and missing Influencer Impact values were replaced with the median value of 3. Two derived variables, Age Group and Income Segment, were added for clearer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</si>
</sst>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2"/>
      <color theme="1"/>
      <name val="Aptos Narrow"/>
      <scheme val="minor"/>
    </font>
    <font>
      <b/>
      <sz val="11"/>
      <color theme="1"/>
      <name val="Calibri"/>
      <family val="2"/>
    </font>
    <font>
      <sz val="11"/>
      <color rgb="FF000000"/>
      <name val="Calibri"/>
      <family val="2"/>
    </font>
    <font>
      <b/>
      <sz val="15"/>
      <color theme="1"/>
      <name val="Calibri"/>
      <family val="2"/>
    </font>
    <font>
      <i/>
      <sz val="11"/>
      <color rgb="FFC00000"/>
      <name val="Calibri"/>
      <family val="2"/>
    </font>
    <font>
      <sz val="11"/>
      <color theme="1"/>
      <name val="Calibri"/>
      <family val="2"/>
    </font>
    <font>
      <sz val="11"/>
      <name val="Calibri"/>
      <family val="2"/>
    </font>
    <font>
      <i/>
      <sz val="12"/>
      <color theme="1"/>
      <name val="Aptos Narrow"/>
      <family val="2"/>
      <scheme val="minor"/>
    </font>
    <font>
      <sz val="12"/>
      <color theme="1"/>
      <name val="Aptos Narrow"/>
      <scheme val="minor"/>
    </font>
  </fonts>
  <fills count="1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AFAFA"/>
      </patternFill>
    </fill>
    <fill>
      <patternFill patternType="solid">
        <fgColor theme="0"/>
        <bgColor rgb="FF000000"/>
      </patternFill>
    </fill>
    <fill>
      <patternFill patternType="solid">
        <fgColor theme="4" tint="0.59999389629810485"/>
        <bgColor indexed="64"/>
      </patternFill>
    </fill>
    <fill>
      <patternFill patternType="solid">
        <fgColor rgb="FFFBFDFF"/>
      </patternFill>
    </fill>
    <fill>
      <patternFill patternType="solid">
        <fgColor theme="5" tint="0.59999389629810485"/>
        <bgColor indexed="64"/>
      </patternFill>
    </fill>
    <fill>
      <patternFill patternType="solid">
        <fgColor rgb="FFFDFEFE"/>
      </patternFill>
    </fill>
    <fill>
      <patternFill patternType="solid">
        <fgColor rgb="FFE7E6E6"/>
        <bgColor rgb="FF000000"/>
      </patternFill>
    </fill>
    <fill>
      <patternFill patternType="solid">
        <fgColor rgb="FFFFFF00"/>
        <bgColor rgb="FF000000"/>
      </patternFill>
    </fill>
    <fill>
      <patternFill patternType="solid">
        <fgColor theme="4" tint="0.39997558519241921"/>
        <bgColor indexed="64"/>
      </patternFill>
    </fill>
    <fill>
      <patternFill patternType="solid">
        <fgColor rgb="FFF8FBFE"/>
      </patternFill>
    </fill>
    <fill>
      <patternFill patternType="solid">
        <fgColor rgb="FFFFC000"/>
        <bgColor indexed="64"/>
      </patternFill>
    </fill>
    <fill>
      <patternFill patternType="solid">
        <fgColor rgb="FFE7E6E6"/>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horizontal="left" vertical="center" wrapText="1"/>
    </xf>
    <xf numFmtId="0" fontId="0" fillId="0" borderId="0" xfId="0"/>
    <xf numFmtId="0" fontId="0" fillId="0" borderId="0" xfId="0" applyAlignment="1">
      <alignment horizontal="left" vertical="center" wrapText="1"/>
    </xf>
    <xf numFmtId="0" fontId="1" fillId="2" borderId="0" xfId="0" applyFont="1" applyFill="1" applyAlignment="1">
      <alignment horizontal="center" wrapText="1"/>
    </xf>
    <xf numFmtId="0" fontId="0" fillId="0" borderId="0" xfId="0" applyAlignment="1">
      <alignment horizontal="left"/>
    </xf>
    <xf numFmtId="0" fontId="2" fillId="2" borderId="0" xfId="0" applyFont="1" applyFill="1" applyAlignment="1">
      <alignment horizontal="left" vertical="center" wrapText="1"/>
    </xf>
    <xf numFmtId="0" fontId="0" fillId="2" borderId="0" xfId="0" applyFont="1" applyFill="1"/>
    <xf numFmtId="0" fontId="2" fillId="2" borderId="0" xfId="0" applyFont="1" applyFill="1" applyAlignment="1">
      <alignment horizontal="center" vertical="center"/>
    </xf>
    <xf numFmtId="0" fontId="0" fillId="2" borderId="0" xfId="0" applyFont="1" applyFill="1" applyAlignment="1">
      <alignment horizontal="center"/>
    </xf>
    <xf numFmtId="0" fontId="0" fillId="4" borderId="0" xfId="0" applyFill="1" applyAlignment="1">
      <alignment horizontal="left" vertical="center" wrapText="1"/>
    </xf>
    <xf numFmtId="0" fontId="0" fillId="3" borderId="0" xfId="0" applyFill="1" applyAlignment="1">
      <alignment horizontal="left" vertical="center" wrapText="1"/>
    </xf>
    <xf numFmtId="0" fontId="0" fillId="3" borderId="0" xfId="0" applyFill="1"/>
    <xf numFmtId="0" fontId="2" fillId="2" borderId="0" xfId="0" applyFont="1" applyFill="1" applyAlignment="1">
      <alignment horizontal="center" vertical="center" wrapText="1"/>
    </xf>
    <xf numFmtId="0" fontId="3" fillId="5" borderId="0" xfId="0" applyFont="1" applyFill="1" applyAlignment="1">
      <alignment horizontal="left" vertical="center" wrapText="1"/>
    </xf>
    <xf numFmtId="0" fontId="4" fillId="2" borderId="0" xfId="0" applyFont="1" applyFill="1" applyAlignment="1">
      <alignment horizontal="center" vertical="center" wrapText="1"/>
    </xf>
    <xf numFmtId="0" fontId="1" fillId="2" borderId="0" xfId="0" applyFont="1" applyFill="1"/>
    <xf numFmtId="0" fontId="1" fillId="6" borderId="0" xfId="0" applyFont="1" applyFill="1"/>
    <xf numFmtId="3" fontId="0" fillId="7" borderId="0" xfId="0" applyNumberFormat="1" applyFill="1" applyAlignment="1">
      <alignment horizontal="center" vertical="center" wrapText="1"/>
    </xf>
    <xf numFmtId="3" fontId="0" fillId="0" borderId="0" xfId="0" applyNumberFormat="1" applyAlignment="1">
      <alignment horizontal="center" vertical="center" wrapText="1"/>
    </xf>
    <xf numFmtId="0" fontId="0" fillId="7" borderId="0" xfId="0" applyFill="1" applyAlignment="1">
      <alignment horizontal="center" vertical="center" wrapText="1"/>
    </xf>
    <xf numFmtId="0" fontId="0" fillId="0" borderId="0" xfId="0" applyAlignment="1">
      <alignment horizontal="center" vertical="center" wrapText="1"/>
    </xf>
    <xf numFmtId="0" fontId="0" fillId="7" borderId="0" xfId="0" applyFill="1" applyAlignment="1">
      <alignment horizontal="left" vertical="center" wrapText="1"/>
    </xf>
    <xf numFmtId="0" fontId="5" fillId="8" borderId="0" xfId="0" applyFont="1" applyFill="1" applyAlignment="1">
      <alignment horizontal="left" vertical="center" wrapText="1"/>
    </xf>
    <xf numFmtId="3" fontId="5" fillId="8" borderId="0" xfId="0" applyNumberFormat="1" applyFont="1" applyFill="1" applyAlignment="1">
      <alignment horizontal="center" vertical="center" wrapText="1"/>
    </xf>
    <xf numFmtId="3" fontId="0" fillId="9" borderId="0" xfId="0" applyNumberFormat="1" applyFill="1" applyAlignment="1">
      <alignment horizontal="center" vertical="center" wrapText="1"/>
    </xf>
    <xf numFmtId="0" fontId="0" fillId="9" borderId="0" xfId="0" applyFill="1" applyAlignment="1">
      <alignment horizontal="center" vertical="center" wrapText="1"/>
    </xf>
    <xf numFmtId="0" fontId="0" fillId="9" borderId="0" xfId="0" applyFill="1" applyAlignment="1">
      <alignment horizontal="left" vertical="center" wrapText="1"/>
    </xf>
    <xf numFmtId="0" fontId="3" fillId="10" borderId="0" xfId="0" applyFont="1" applyFill="1" applyAlignment="1">
      <alignment horizontal="left" vertical="center" wrapText="1"/>
    </xf>
    <xf numFmtId="0" fontId="3" fillId="11" borderId="0" xfId="0" applyFont="1" applyFill="1" applyAlignment="1">
      <alignment horizontal="left" vertical="center" wrapText="1"/>
    </xf>
    <xf numFmtId="0" fontId="0" fillId="12" borderId="0" xfId="0" applyFill="1"/>
    <xf numFmtId="0" fontId="1" fillId="12" borderId="0" xfId="0" applyFont="1" applyFill="1"/>
    <xf numFmtId="3" fontId="0" fillId="0" borderId="0" xfId="0" applyNumberFormat="1"/>
    <xf numFmtId="0" fontId="6" fillId="5" borderId="0" xfId="0" applyFont="1" applyFill="1" applyAlignment="1">
      <alignment horizontal="left" vertical="center"/>
    </xf>
    <xf numFmtId="0" fontId="7" fillId="0" borderId="0" xfId="0" applyFont="1" applyAlignment="1">
      <alignment horizontal="center" vertical="center"/>
    </xf>
    <xf numFmtId="3" fontId="7" fillId="0" borderId="0" xfId="0" applyNumberFormat="1" applyFont="1" applyAlignment="1">
      <alignment horizontal="center" vertical="center"/>
    </xf>
    <xf numFmtId="2" fontId="7" fillId="0" borderId="0" xfId="0" applyNumberFormat="1" applyFont="1" applyAlignment="1">
      <alignment horizontal="center" vertical="center"/>
    </xf>
    <xf numFmtId="0" fontId="2" fillId="12" borderId="0" xfId="0" applyFont="1" applyFill="1" applyAlignment="1">
      <alignment horizontal="left" vertical="center" wrapText="1"/>
    </xf>
    <xf numFmtId="0" fontId="0" fillId="12" borderId="0" xfId="0" applyFont="1" applyFill="1"/>
    <xf numFmtId="0" fontId="0" fillId="0" borderId="0" xfId="0" applyFill="1" applyBorder="1" applyAlignment="1"/>
    <xf numFmtId="0" fontId="0" fillId="0" borderId="1" xfId="0" applyFill="1" applyBorder="1" applyAlignment="1"/>
    <xf numFmtId="0" fontId="8" fillId="0" borderId="2" xfId="0" applyFont="1" applyFill="1" applyBorder="1" applyAlignment="1">
      <alignment horizontal="center"/>
    </xf>
    <xf numFmtId="0" fontId="8" fillId="12" borderId="2" xfId="0" applyFont="1" applyFill="1" applyBorder="1" applyAlignment="1">
      <alignment horizontal="center"/>
    </xf>
    <xf numFmtId="2" fontId="0" fillId="0" borderId="0" xfId="0" applyNumberFormat="1"/>
    <xf numFmtId="0" fontId="0" fillId="13" borderId="0" xfId="0" applyFill="1" applyAlignment="1">
      <alignment horizontal="left" vertical="center" wrapText="1"/>
    </xf>
    <xf numFmtId="0" fontId="1" fillId="0" borderId="0" xfId="0" applyFont="1"/>
    <xf numFmtId="0" fontId="1" fillId="14" borderId="0" xfId="0" applyFont="1" applyFill="1"/>
    <xf numFmtId="0" fontId="9" fillId="3" borderId="0" xfId="0" applyFont="1" applyFill="1"/>
    <xf numFmtId="0" fontId="0" fillId="15" borderId="0" xfId="0" applyFill="1" applyAlignment="1">
      <alignment horizontal="left" vertical="center" wrapText="1"/>
    </xf>
    <xf numFmtId="0" fontId="4" fillId="12" borderId="0" xfId="0" applyFont="1" applyFill="1" applyAlignment="1">
      <alignment horizontal="center" vertical="center" wrapText="1"/>
    </xf>
    <xf numFmtId="0" fontId="2" fillId="11"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IN"/>
              <a:t>Fragrance Preference Frequency</a:t>
            </a:r>
          </a:p>
        </c:rich>
      </c:tx>
      <c:overlay val="0"/>
    </c:title>
    <c:autoTitleDeleted val="0"/>
    <c:plotArea>
      <c:layout>
        <c:manualLayout>
          <c:layoutTarget val="inner"/>
          <c:xMode val="edge"/>
          <c:yMode val="edge"/>
          <c:x val="0.12350223513127141"/>
          <c:y val="0.29124981429208141"/>
          <c:w val="0.86744640212052704"/>
          <c:h val="0.48209144257911157"/>
        </c:manualLayout>
      </c:layout>
      <c:barChart>
        <c:barDir val="col"/>
        <c:grouping val="stacked"/>
        <c:varyColors val="1"/>
        <c:ser>
          <c:idx val="0"/>
          <c:order val="0"/>
          <c:invertIfNegative val="1"/>
          <c:cat>
            <c:strRef>
              <c:f>'Cleaned data'!$E$110:$E$114</c:f>
              <c:strCache>
                <c:ptCount val="5"/>
                <c:pt idx="0">
                  <c:v>Floral</c:v>
                </c:pt>
                <c:pt idx="1">
                  <c:v>Woody</c:v>
                </c:pt>
                <c:pt idx="2">
                  <c:v>Citrus</c:v>
                </c:pt>
                <c:pt idx="3">
                  <c:v>Oriental</c:v>
                </c:pt>
                <c:pt idx="4">
                  <c:v>Fresh</c:v>
                </c:pt>
              </c:strCache>
            </c:strRef>
          </c:cat>
          <c:val>
            <c:numRef>
              <c:f>'Cleaned data'!$F$110:$F$114</c:f>
              <c:numCache>
                <c:formatCode>General</c:formatCode>
                <c:ptCount val="5"/>
                <c:pt idx="0">
                  <c:v>20</c:v>
                </c:pt>
                <c:pt idx="1">
                  <c:v>31</c:v>
                </c:pt>
                <c:pt idx="2">
                  <c:v>14</c:v>
                </c:pt>
                <c:pt idx="3">
                  <c:v>17</c:v>
                </c:pt>
                <c:pt idx="4">
                  <c:v>18</c:v>
                </c:pt>
              </c:numCache>
            </c:numRef>
          </c:val>
          <c:extLst>
            <c:ext xmlns:c16="http://schemas.microsoft.com/office/drawing/2014/chart" uri="{C3380CC4-5D6E-409C-BE32-E72D297353CC}">
              <c16:uniqueId val="{00000000-9EFC-784B-A348-17AB6C2BEEAE}"/>
            </c:ext>
          </c:extLst>
        </c:ser>
        <c:dLbls>
          <c:showLegendKey val="0"/>
          <c:showVal val="0"/>
          <c:showCatName val="0"/>
          <c:showSerName val="0"/>
          <c:showPercent val="0"/>
          <c:showBubbleSize val="0"/>
        </c:dLbls>
        <c:gapWidth val="150"/>
        <c:overlap val="100"/>
        <c:axId val="48650112"/>
        <c:axId val="48672768"/>
      </c:barChart>
      <c:catAx>
        <c:axId val="48650112"/>
        <c:scaling>
          <c:orientation val="minMax"/>
        </c:scaling>
        <c:delete val="0"/>
        <c:axPos val="b"/>
        <c:title>
          <c:tx>
            <c:rich>
              <a:bodyPr/>
              <a:lstStyle/>
              <a:p>
                <a:r>
                  <a:rPr lang="en-IN" sz="1400"/>
                  <a:t>Fragrance Family</a:t>
                </a:r>
              </a:p>
            </c:rich>
          </c:tx>
          <c:overlay val="1"/>
        </c:title>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n-IN" sz="1400"/>
                  <a:t>Customers</a:t>
                </a:r>
              </a:p>
            </c:rich>
          </c:tx>
          <c:layout>
            <c:manualLayout>
              <c:xMode val="edge"/>
              <c:yMode val="edge"/>
              <c:x val="4.9970948287952552E-3"/>
              <c:y val="0.31290855742088836"/>
            </c:manualLayout>
          </c:layout>
          <c:overlay val="1"/>
        </c:title>
        <c:numFmt formatCode="General" sourceLinked="1"/>
        <c:majorTickMark val="none"/>
        <c:minorTickMark val="none"/>
        <c:tickLblPos val="nextTo"/>
        <c:crossAx val="48650112"/>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IN"/>
              <a:t>Shopping Channel Preference</a:t>
            </a:r>
          </a:p>
        </c:rich>
      </c:tx>
      <c:overlay val="0"/>
    </c:title>
    <c:autoTitleDeleted val="0"/>
    <c:plotArea>
      <c:layout/>
      <c:pieChart>
        <c:varyColors val="1"/>
        <c:ser>
          <c:idx val="0"/>
          <c:order val="0"/>
          <c:dPt>
            <c:idx val="1"/>
            <c:bubble3D val="0"/>
            <c:explosion val="1"/>
            <c:extLst>
              <c:ext xmlns:c16="http://schemas.microsoft.com/office/drawing/2014/chart" uri="{C3380CC4-5D6E-409C-BE32-E72D297353CC}">
                <c16:uniqueId val="{00000002-2CB7-904F-BE46-FC9BA36E72CB}"/>
              </c:ext>
            </c:extLst>
          </c:dPt>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'Cleaned data'!$H$110:$H$111</c:f>
              <c:strCache>
                <c:ptCount val="2"/>
                <c:pt idx="0">
                  <c:v>Online</c:v>
                </c:pt>
                <c:pt idx="1">
                  <c:v>Offline</c:v>
                </c:pt>
              </c:strCache>
            </c:strRef>
          </c:cat>
          <c:val>
            <c:numRef>
              <c:f>'Cleaned data'!$I$110:$I$111</c:f>
              <c:numCache>
                <c:formatCode>General</c:formatCode>
                <c:ptCount val="2"/>
                <c:pt idx="0">
                  <c:v>40</c:v>
                </c:pt>
                <c:pt idx="1">
                  <c:v>60</c:v>
                </c:pt>
              </c:numCache>
            </c:numRef>
          </c:val>
          <c:extLst>
            <c:ext xmlns:c16="http://schemas.microsoft.com/office/drawing/2014/chart" uri="{C3380CC4-5D6E-409C-BE32-E72D297353CC}">
              <c16:uniqueId val="{00000000-2CB7-904F-BE46-FC9BA36E72CB}"/>
            </c:ext>
          </c:extLst>
        </c:ser>
        <c:dLbls>
          <c:showLegendKey val="1"/>
          <c:showVal val="1"/>
          <c:showCatName val="1"/>
          <c:showSerName val="1"/>
          <c:showPercent val="1"/>
          <c:showBubbleSize val="1"/>
          <c:showLeaderLines val="1"/>
        </c:dLbls>
        <c:firstSliceAng val="0"/>
      </c:pieChart>
    </c:plotArea>
    <c:legend>
      <c:legendPos val="r"/>
      <c:layout>
        <c:manualLayout>
          <c:xMode val="edge"/>
          <c:yMode val="edge"/>
          <c:x val="0.79716075502244466"/>
          <c:y val="0.48734136174154702"/>
          <c:w val="0.10237195525792921"/>
          <c:h val="0.14178786475220009"/>
        </c:manualLayout>
      </c:layout>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IN"/>
              <a:t> Purchase Likelihood by Age Group Frequency</a:t>
            </a:r>
          </a:p>
        </c:rich>
      </c:tx>
      <c:layout>
        <c:manualLayout>
          <c:xMode val="edge"/>
          <c:yMode val="edge"/>
          <c:x val="0.15799071991001123"/>
          <c:y val="2.3809523809523808E-2"/>
        </c:manualLayout>
      </c:layout>
      <c:overlay val="0"/>
    </c:title>
    <c:autoTitleDeleted val="0"/>
    <c:plotArea>
      <c:layout>
        <c:manualLayout>
          <c:layoutTarget val="inner"/>
          <c:xMode val="edge"/>
          <c:yMode val="edge"/>
          <c:x val="0.17004382264716911"/>
          <c:y val="0.17248800149981253"/>
          <c:w val="0.81405675853018378"/>
          <c:h val="0.68929377577802775"/>
        </c:manualLayout>
      </c:layout>
      <c:barChart>
        <c:barDir val="col"/>
        <c:grouping val="clustered"/>
        <c:varyColors val="1"/>
        <c:ser>
          <c:idx val="0"/>
          <c:order val="0"/>
          <c:invertIfNegative val="1"/>
          <c:cat>
            <c:strRef>
              <c:f>'Cleaned data'!$K$109:$K$112</c:f>
              <c:strCache>
                <c:ptCount val="4"/>
                <c:pt idx="0">
                  <c:v>18-24</c:v>
                </c:pt>
                <c:pt idx="1">
                  <c:v>25-30</c:v>
                </c:pt>
                <c:pt idx="2">
                  <c:v>31-36</c:v>
                </c:pt>
                <c:pt idx="3">
                  <c:v>37-45</c:v>
                </c:pt>
              </c:strCache>
            </c:strRef>
          </c:cat>
          <c:val>
            <c:numRef>
              <c:f>'Cleaned data'!$L$109:$L$112</c:f>
              <c:numCache>
                <c:formatCode>0.00</c:formatCode>
                <c:ptCount val="4"/>
                <c:pt idx="0">
                  <c:v>26</c:v>
                </c:pt>
                <c:pt idx="1">
                  <c:v>18</c:v>
                </c:pt>
                <c:pt idx="2">
                  <c:v>25</c:v>
                </c:pt>
                <c:pt idx="3">
                  <c:v>31</c:v>
                </c:pt>
              </c:numCache>
            </c:numRef>
          </c:val>
          <c:extLst>
            <c:ext xmlns:c16="http://schemas.microsoft.com/office/drawing/2014/chart" uri="{C3380CC4-5D6E-409C-BE32-E72D297353CC}">
              <c16:uniqueId val="{00000000-C324-BA45-876B-64453626E5D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title>
          <c:tx>
            <c:rich>
              <a:bodyPr/>
              <a:lstStyle/>
              <a:p>
                <a:r>
                  <a:rPr lang="en-IN" sz="1400"/>
                  <a:t>Age Group</a:t>
                </a:r>
              </a:p>
            </c:rich>
          </c:tx>
          <c:overlay val="1"/>
        </c:title>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n-IN" sz="1400"/>
                  <a:t>Average Likelihood</a:t>
                </a:r>
              </a:p>
            </c:rich>
          </c:tx>
          <c:layout>
            <c:manualLayout>
              <c:xMode val="edge"/>
              <c:yMode val="edge"/>
              <c:x val="1.2539838770153739E-3"/>
              <c:y val="0.36586107986501687"/>
            </c:manualLayout>
          </c:layout>
          <c:overlay val="1"/>
        </c:title>
        <c:numFmt formatCode="0.00" sourceLinked="1"/>
        <c:majorTickMark val="none"/>
        <c:minorTickMark val="none"/>
        <c:tickLblPos val="nextTo"/>
        <c:crossAx val="48650112"/>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IN"/>
              <a:t>Influencer Impact vs Purchase Likelihood</a:t>
            </a:r>
          </a:p>
        </c:rich>
      </c:tx>
      <c:overlay val="0"/>
    </c:title>
    <c:autoTitleDeleted val="0"/>
    <c:plotArea>
      <c:layout>
        <c:manualLayout>
          <c:layoutTarget val="inner"/>
          <c:xMode val="edge"/>
          <c:yMode val="edge"/>
          <c:x val="2.261032350536113E-2"/>
          <c:y val="0.25973397075365584"/>
          <c:w val="0.93801891951006122"/>
          <c:h val="0.6008837986160821"/>
        </c:manualLayout>
      </c:layout>
      <c:barChart>
        <c:barDir val="col"/>
        <c:grouping val="clustered"/>
        <c:varyColors val="0"/>
        <c:ser>
          <c:idx val="0"/>
          <c:order val="0"/>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'Cleaned data'!$J$4:$J$103</c:f>
              <c:numCache>
                <c:formatCode>#,##0</c:formatCode>
                <c:ptCount val="100"/>
                <c:pt idx="0">
                  <c:v>2</c:v>
                </c:pt>
                <c:pt idx="1">
                  <c:v>4</c:v>
                </c:pt>
                <c:pt idx="2">
                  <c:v>4</c:v>
                </c:pt>
                <c:pt idx="3">
                  <c:v>2</c:v>
                </c:pt>
                <c:pt idx="4">
                  <c:v>3</c:v>
                </c:pt>
                <c:pt idx="5">
                  <c:v>2</c:v>
                </c:pt>
                <c:pt idx="6">
                  <c:v>4</c:v>
                </c:pt>
                <c:pt idx="7">
                  <c:v>2</c:v>
                </c:pt>
                <c:pt idx="8">
                  <c:v>2</c:v>
                </c:pt>
                <c:pt idx="9">
                  <c:v>3</c:v>
                </c:pt>
                <c:pt idx="10">
                  <c:v>4</c:v>
                </c:pt>
                <c:pt idx="11">
                  <c:v>2</c:v>
                </c:pt>
                <c:pt idx="12">
                  <c:v>1</c:v>
                </c:pt>
                <c:pt idx="13">
                  <c:v>2</c:v>
                </c:pt>
                <c:pt idx="14">
                  <c:v>4</c:v>
                </c:pt>
                <c:pt idx="15">
                  <c:v>2</c:v>
                </c:pt>
                <c:pt idx="16">
                  <c:v>2</c:v>
                </c:pt>
                <c:pt idx="17">
                  <c:v>4</c:v>
                </c:pt>
                <c:pt idx="18">
                  <c:v>4</c:v>
                </c:pt>
                <c:pt idx="19">
                  <c:v>3</c:v>
                </c:pt>
                <c:pt idx="20">
                  <c:v>3</c:v>
                </c:pt>
                <c:pt idx="21">
                  <c:v>3</c:v>
                </c:pt>
                <c:pt idx="22">
                  <c:v>5</c:v>
                </c:pt>
                <c:pt idx="23">
                  <c:v>3</c:v>
                </c:pt>
                <c:pt idx="24">
                  <c:v>2</c:v>
                </c:pt>
                <c:pt idx="25">
                  <c:v>4</c:v>
                </c:pt>
                <c:pt idx="26">
                  <c:v>4</c:v>
                </c:pt>
                <c:pt idx="27">
                  <c:v>4</c:v>
                </c:pt>
                <c:pt idx="28">
                  <c:v>3</c:v>
                </c:pt>
                <c:pt idx="29">
                  <c:v>1</c:v>
                </c:pt>
                <c:pt idx="30">
                  <c:v>1</c:v>
                </c:pt>
                <c:pt idx="31">
                  <c:v>2</c:v>
                </c:pt>
                <c:pt idx="32">
                  <c:v>4</c:v>
                </c:pt>
                <c:pt idx="33">
                  <c:v>4</c:v>
                </c:pt>
                <c:pt idx="34">
                  <c:v>5</c:v>
                </c:pt>
                <c:pt idx="35">
                  <c:v>3</c:v>
                </c:pt>
                <c:pt idx="36">
                  <c:v>3</c:v>
                </c:pt>
                <c:pt idx="37">
                  <c:v>5</c:v>
                </c:pt>
                <c:pt idx="38">
                  <c:v>2</c:v>
                </c:pt>
                <c:pt idx="39">
                  <c:v>4</c:v>
                </c:pt>
                <c:pt idx="40">
                  <c:v>2</c:v>
                </c:pt>
                <c:pt idx="41">
                  <c:v>2</c:v>
                </c:pt>
                <c:pt idx="42">
                  <c:v>2</c:v>
                </c:pt>
                <c:pt idx="43">
                  <c:v>3</c:v>
                </c:pt>
                <c:pt idx="44">
                  <c:v>3</c:v>
                </c:pt>
                <c:pt idx="45">
                  <c:v>2</c:v>
                </c:pt>
                <c:pt idx="46">
                  <c:v>3</c:v>
                </c:pt>
                <c:pt idx="47">
                  <c:v>2</c:v>
                </c:pt>
                <c:pt idx="48">
                  <c:v>3</c:v>
                </c:pt>
                <c:pt idx="49">
                  <c:v>3</c:v>
                </c:pt>
                <c:pt idx="50">
                  <c:v>3</c:v>
                </c:pt>
                <c:pt idx="51">
                  <c:v>3</c:v>
                </c:pt>
                <c:pt idx="52">
                  <c:v>2</c:v>
                </c:pt>
                <c:pt idx="53">
                  <c:v>4</c:v>
                </c:pt>
                <c:pt idx="54">
                  <c:v>2</c:v>
                </c:pt>
                <c:pt idx="55">
                  <c:v>3</c:v>
                </c:pt>
                <c:pt idx="56">
                  <c:v>4</c:v>
                </c:pt>
                <c:pt idx="57">
                  <c:v>2</c:v>
                </c:pt>
                <c:pt idx="58">
                  <c:v>3</c:v>
                </c:pt>
                <c:pt idx="59">
                  <c:v>3</c:v>
                </c:pt>
                <c:pt idx="60">
                  <c:v>3</c:v>
                </c:pt>
                <c:pt idx="61">
                  <c:v>3</c:v>
                </c:pt>
                <c:pt idx="62">
                  <c:v>2</c:v>
                </c:pt>
                <c:pt idx="63">
                  <c:v>2</c:v>
                </c:pt>
                <c:pt idx="64">
                  <c:v>3</c:v>
                </c:pt>
                <c:pt idx="65">
                  <c:v>3</c:v>
                </c:pt>
                <c:pt idx="66">
                  <c:v>5</c:v>
                </c:pt>
                <c:pt idx="67">
                  <c:v>4</c:v>
                </c:pt>
                <c:pt idx="68">
                  <c:v>3</c:v>
                </c:pt>
                <c:pt idx="69">
                  <c:v>2</c:v>
                </c:pt>
                <c:pt idx="70">
                  <c:v>1</c:v>
                </c:pt>
                <c:pt idx="71">
                  <c:v>2</c:v>
                </c:pt>
                <c:pt idx="72">
                  <c:v>2</c:v>
                </c:pt>
                <c:pt idx="73">
                  <c:v>4</c:v>
                </c:pt>
                <c:pt idx="74">
                  <c:v>2</c:v>
                </c:pt>
                <c:pt idx="75">
                  <c:v>2</c:v>
                </c:pt>
                <c:pt idx="76">
                  <c:v>3</c:v>
                </c:pt>
                <c:pt idx="77">
                  <c:v>4</c:v>
                </c:pt>
                <c:pt idx="78">
                  <c:v>4</c:v>
                </c:pt>
                <c:pt idx="79">
                  <c:v>3</c:v>
                </c:pt>
                <c:pt idx="80">
                  <c:v>3</c:v>
                </c:pt>
                <c:pt idx="81">
                  <c:v>2</c:v>
                </c:pt>
                <c:pt idx="82">
                  <c:v>2</c:v>
                </c:pt>
                <c:pt idx="83">
                  <c:v>2</c:v>
                </c:pt>
                <c:pt idx="84">
                  <c:v>3</c:v>
                </c:pt>
                <c:pt idx="85">
                  <c:v>4</c:v>
                </c:pt>
                <c:pt idx="86">
                  <c:v>5</c:v>
                </c:pt>
                <c:pt idx="87">
                  <c:v>3</c:v>
                </c:pt>
                <c:pt idx="88">
                  <c:v>2</c:v>
                </c:pt>
                <c:pt idx="89">
                  <c:v>1</c:v>
                </c:pt>
                <c:pt idx="90">
                  <c:v>3</c:v>
                </c:pt>
                <c:pt idx="91">
                  <c:v>4</c:v>
                </c:pt>
                <c:pt idx="92">
                  <c:v>4</c:v>
                </c:pt>
                <c:pt idx="93">
                  <c:v>2</c:v>
                </c:pt>
                <c:pt idx="94">
                  <c:v>2</c:v>
                </c:pt>
                <c:pt idx="95">
                  <c:v>3</c:v>
                </c:pt>
                <c:pt idx="96">
                  <c:v>1</c:v>
                </c:pt>
                <c:pt idx="97">
                  <c:v>4</c:v>
                </c:pt>
                <c:pt idx="98">
                  <c:v>3</c:v>
                </c:pt>
                <c:pt idx="99">
                  <c:v>1</c:v>
                </c:pt>
              </c:numCache>
            </c:numRef>
          </c:val>
          <c:extLst>
            <c:ext xmlns:c16="http://schemas.microsoft.com/office/drawing/2014/chart" uri="{C3380CC4-5D6E-409C-BE32-E72D297353CC}">
              <c16:uniqueId val="{00000000-9283-2F4D-BFFE-1A16422520C5}"/>
            </c:ext>
          </c:extLst>
        </c:ser>
        <c:ser>
          <c:idx val="1"/>
          <c:order val="1"/>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([1]Cleaned_Data!$J$6,[1]Cleaned_Data!$L$6)</c:f>
              <c:numCache>
                <c:formatCode>General</c:formatCode>
                <c:ptCount val="2"/>
                <c:pt idx="0">
                  <c:v>4</c:v>
                </c:pt>
                <c:pt idx="1">
                  <c:v>4</c:v>
                </c:pt>
              </c:numCache>
            </c:numRef>
          </c:val>
          <c:extLst>
            <c:ext xmlns:c16="http://schemas.microsoft.com/office/drawing/2014/chart" uri="{C3380CC4-5D6E-409C-BE32-E72D297353CC}">
              <c16:uniqueId val="{00000063-9283-2F4D-BFFE-1A16422520C5}"/>
            </c:ext>
          </c:extLst>
        </c:ser>
        <c:ser>
          <c:idx val="2"/>
          <c:order val="2"/>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([1]Cleaned_Data!$J$7,[1]Cleaned_Data!$L$7)</c:f>
              <c:numCache>
                <c:formatCode>General</c:formatCode>
                <c:ptCount val="2"/>
                <c:pt idx="0">
                  <c:v>2</c:v>
                </c:pt>
                <c:pt idx="1">
                  <c:v>5</c:v>
                </c:pt>
              </c:numCache>
            </c:numRef>
          </c:val>
          <c:extLst>
            <c:ext xmlns:c16="http://schemas.microsoft.com/office/drawing/2014/chart" uri="{C3380CC4-5D6E-409C-BE32-E72D297353CC}">
              <c16:uniqueId val="{00000064-9283-2F4D-BFFE-1A16422520C5}"/>
            </c:ext>
          </c:extLst>
        </c:ser>
        <c:ser>
          <c:idx val="3"/>
          <c:order val="3"/>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([1]Cleaned_Data!$J$8,[1]Cleaned_Data!$L$8)</c:f>
              <c:numCache>
                <c:formatCode>General</c:formatCode>
                <c:ptCount val="2"/>
                <c:pt idx="0">
                  <c:v>3</c:v>
                </c:pt>
                <c:pt idx="1">
                  <c:v>5</c:v>
                </c:pt>
              </c:numCache>
            </c:numRef>
          </c:val>
          <c:extLst>
            <c:ext xmlns:c16="http://schemas.microsoft.com/office/drawing/2014/chart" uri="{C3380CC4-5D6E-409C-BE32-E72D297353CC}">
              <c16:uniqueId val="{00000065-9283-2F4D-BFFE-1A16422520C5}"/>
            </c:ext>
          </c:extLst>
        </c:ser>
        <c:ser>
          <c:idx val="4"/>
          <c:order val="4"/>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([1]Cleaned_Data!$J$9,[1]Cleaned_Data!$L$9)</c:f>
              <c:numCache>
                <c:formatCode>General</c:formatCode>
                <c:ptCount val="2"/>
                <c:pt idx="0">
                  <c:v>2</c:v>
                </c:pt>
                <c:pt idx="1">
                  <c:v>5</c:v>
                </c:pt>
              </c:numCache>
            </c:numRef>
          </c:val>
          <c:extLst>
            <c:ext xmlns:c16="http://schemas.microsoft.com/office/drawing/2014/chart" uri="{C3380CC4-5D6E-409C-BE32-E72D297353CC}">
              <c16:uniqueId val="{00000066-9283-2F4D-BFFE-1A16422520C5}"/>
            </c:ext>
          </c:extLst>
        </c:ser>
        <c:ser>
          <c:idx val="5"/>
          <c:order val="5"/>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([1]Cleaned_Data!$J$10,[1]Cleaned_Data!$L$10)</c:f>
              <c:numCache>
                <c:formatCode>General</c:formatCode>
                <c:ptCount val="2"/>
                <c:pt idx="0">
                  <c:v>4</c:v>
                </c:pt>
                <c:pt idx="1">
                  <c:v>5</c:v>
                </c:pt>
              </c:numCache>
            </c:numRef>
          </c:val>
          <c:extLst>
            <c:ext xmlns:c16="http://schemas.microsoft.com/office/drawing/2014/chart" uri="{C3380CC4-5D6E-409C-BE32-E72D297353CC}">
              <c16:uniqueId val="{00000067-9283-2F4D-BFFE-1A16422520C5}"/>
            </c:ext>
          </c:extLst>
        </c:ser>
        <c:ser>
          <c:idx val="6"/>
          <c:order val="6"/>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([1]Cleaned_Data!$J$11,[1]Cleaned_Data!$L$11)</c:f>
              <c:numCache>
                <c:formatCode>General</c:formatCode>
                <c:ptCount val="2"/>
                <c:pt idx="0">
                  <c:v>2</c:v>
                </c:pt>
                <c:pt idx="1">
                  <c:v>4</c:v>
                </c:pt>
              </c:numCache>
            </c:numRef>
          </c:val>
          <c:extLst>
            <c:ext xmlns:c16="http://schemas.microsoft.com/office/drawing/2014/chart" uri="{C3380CC4-5D6E-409C-BE32-E72D297353CC}">
              <c16:uniqueId val="{00000068-9283-2F4D-BFFE-1A16422520C5}"/>
            </c:ext>
          </c:extLst>
        </c:ser>
        <c:ser>
          <c:idx val="7"/>
          <c:order val="7"/>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([1]Cleaned_Data!$J$12,[1]Cleaned_Data!$L$12)</c:f>
              <c:numCache>
                <c:formatCode>General</c:formatCode>
                <c:ptCount val="2"/>
                <c:pt idx="0">
                  <c:v>2</c:v>
                </c:pt>
                <c:pt idx="1">
                  <c:v>5</c:v>
                </c:pt>
              </c:numCache>
            </c:numRef>
          </c:val>
          <c:extLst>
            <c:ext xmlns:c16="http://schemas.microsoft.com/office/drawing/2014/chart" uri="{C3380CC4-5D6E-409C-BE32-E72D297353CC}">
              <c16:uniqueId val="{00000069-9283-2F4D-BFFE-1A16422520C5}"/>
            </c:ext>
          </c:extLst>
        </c:ser>
        <c:ser>
          <c:idx val="8"/>
          <c:order val="8"/>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([1]Cleaned_Data!$J$13,[1]Cleaned_Data!$L$13)</c:f>
              <c:numCache>
                <c:formatCode>General</c:formatCode>
                <c:ptCount val="2"/>
                <c:pt idx="0">
                  <c:v>3</c:v>
                </c:pt>
                <c:pt idx="1">
                  <c:v>5</c:v>
                </c:pt>
              </c:numCache>
            </c:numRef>
          </c:val>
          <c:extLst>
            <c:ext xmlns:c16="http://schemas.microsoft.com/office/drawing/2014/chart" uri="{C3380CC4-5D6E-409C-BE32-E72D297353CC}">
              <c16:uniqueId val="{0000006A-9283-2F4D-BFFE-1A16422520C5}"/>
            </c:ext>
          </c:extLst>
        </c:ser>
        <c:ser>
          <c:idx val="9"/>
          <c:order val="9"/>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([1]Cleaned_Data!$J$14,[1]Cleaned_Data!$L$14)</c:f>
              <c:numCache>
                <c:formatCode>General</c:formatCode>
                <c:ptCount val="2"/>
                <c:pt idx="0">
                  <c:v>4</c:v>
                </c:pt>
                <c:pt idx="1">
                  <c:v>5</c:v>
                </c:pt>
              </c:numCache>
            </c:numRef>
          </c:val>
          <c:extLst>
            <c:ext xmlns:c16="http://schemas.microsoft.com/office/drawing/2014/chart" uri="{C3380CC4-5D6E-409C-BE32-E72D297353CC}">
              <c16:uniqueId val="{0000006B-9283-2F4D-BFFE-1A16422520C5}"/>
            </c:ext>
          </c:extLst>
        </c:ser>
        <c:ser>
          <c:idx val="10"/>
          <c:order val="10"/>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([1]Cleaned_Data!$J$15,[1]Cleaned_Data!$L$15)</c:f>
              <c:numCache>
                <c:formatCode>General</c:formatCode>
                <c:ptCount val="2"/>
                <c:pt idx="0">
                  <c:v>2</c:v>
                </c:pt>
                <c:pt idx="1">
                  <c:v>5</c:v>
                </c:pt>
              </c:numCache>
            </c:numRef>
          </c:val>
          <c:extLst>
            <c:ext xmlns:c16="http://schemas.microsoft.com/office/drawing/2014/chart" uri="{C3380CC4-5D6E-409C-BE32-E72D297353CC}">
              <c16:uniqueId val="{0000006C-9283-2F4D-BFFE-1A16422520C5}"/>
            </c:ext>
          </c:extLst>
        </c:ser>
        <c:ser>
          <c:idx val="11"/>
          <c:order val="11"/>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([1]Cleaned_Data!$J$16,[1]Cleaned_Data!$L$16)</c:f>
              <c:numCache>
                <c:formatCode>General</c:formatCode>
                <c:ptCount val="2"/>
                <c:pt idx="0">
                  <c:v>1</c:v>
                </c:pt>
                <c:pt idx="1">
                  <c:v>4</c:v>
                </c:pt>
              </c:numCache>
            </c:numRef>
          </c:val>
          <c:extLst>
            <c:ext xmlns:c16="http://schemas.microsoft.com/office/drawing/2014/chart" uri="{C3380CC4-5D6E-409C-BE32-E72D297353CC}">
              <c16:uniqueId val="{0000006D-9283-2F4D-BFFE-1A16422520C5}"/>
            </c:ext>
          </c:extLst>
        </c:ser>
        <c:ser>
          <c:idx val="12"/>
          <c:order val="12"/>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([1]Cleaned_Data!$J$17,[1]Cleaned_Data!$L$17)</c:f>
              <c:numCache>
                <c:formatCode>General</c:formatCode>
                <c:ptCount val="2"/>
                <c:pt idx="0">
                  <c:v>2</c:v>
                </c:pt>
                <c:pt idx="1">
                  <c:v>5</c:v>
                </c:pt>
              </c:numCache>
            </c:numRef>
          </c:val>
          <c:extLst>
            <c:ext xmlns:c16="http://schemas.microsoft.com/office/drawing/2014/chart" uri="{C3380CC4-5D6E-409C-BE32-E72D297353CC}">
              <c16:uniqueId val="{0000006E-9283-2F4D-BFFE-1A16422520C5}"/>
            </c:ext>
          </c:extLst>
        </c:ser>
        <c:ser>
          <c:idx val="13"/>
          <c:order val="13"/>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([1]Cleaned_Data!$J$18,[1]Cleaned_Data!$L$18)</c:f>
              <c:numCache>
                <c:formatCode>General</c:formatCode>
                <c:ptCount val="2"/>
                <c:pt idx="0">
                  <c:v>4</c:v>
                </c:pt>
                <c:pt idx="1">
                  <c:v>5</c:v>
                </c:pt>
              </c:numCache>
            </c:numRef>
          </c:val>
          <c:extLst>
            <c:ext xmlns:c16="http://schemas.microsoft.com/office/drawing/2014/chart" uri="{C3380CC4-5D6E-409C-BE32-E72D297353CC}">
              <c16:uniqueId val="{0000006F-9283-2F4D-BFFE-1A16422520C5}"/>
            </c:ext>
          </c:extLst>
        </c:ser>
        <c:ser>
          <c:idx val="14"/>
          <c:order val="14"/>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([1]Cleaned_Data!$J$19,[1]Cleaned_Data!$L$19)</c:f>
              <c:numCache>
                <c:formatCode>General</c:formatCode>
                <c:ptCount val="2"/>
                <c:pt idx="0">
                  <c:v>2</c:v>
                </c:pt>
                <c:pt idx="1">
                  <c:v>5</c:v>
                </c:pt>
              </c:numCache>
            </c:numRef>
          </c:val>
          <c:extLst>
            <c:ext xmlns:c16="http://schemas.microsoft.com/office/drawing/2014/chart" uri="{C3380CC4-5D6E-409C-BE32-E72D297353CC}">
              <c16:uniqueId val="{00000070-9283-2F4D-BFFE-1A16422520C5}"/>
            </c:ext>
          </c:extLst>
        </c:ser>
        <c:ser>
          <c:idx val="15"/>
          <c:order val="15"/>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([1]Cleaned_Data!$J$20,[1]Cleaned_Data!$L$20)</c:f>
              <c:numCache>
                <c:formatCode>General</c:formatCode>
                <c:ptCount val="2"/>
                <c:pt idx="0">
                  <c:v>2</c:v>
                </c:pt>
                <c:pt idx="1">
                  <c:v>5</c:v>
                </c:pt>
              </c:numCache>
            </c:numRef>
          </c:val>
          <c:extLst>
            <c:ext xmlns:c16="http://schemas.microsoft.com/office/drawing/2014/chart" uri="{C3380CC4-5D6E-409C-BE32-E72D297353CC}">
              <c16:uniqueId val="{00000071-9283-2F4D-BFFE-1A16422520C5}"/>
            </c:ext>
          </c:extLst>
        </c:ser>
        <c:ser>
          <c:idx val="16"/>
          <c:order val="16"/>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([1]Cleaned_Data!$J$21,[1]Cleaned_Data!$L$21)</c:f>
              <c:numCache>
                <c:formatCode>General</c:formatCode>
                <c:ptCount val="2"/>
                <c:pt idx="0">
                  <c:v>4</c:v>
                </c:pt>
                <c:pt idx="1">
                  <c:v>4</c:v>
                </c:pt>
              </c:numCache>
            </c:numRef>
          </c:val>
          <c:extLst>
            <c:ext xmlns:c16="http://schemas.microsoft.com/office/drawing/2014/chart" uri="{C3380CC4-5D6E-409C-BE32-E72D297353CC}">
              <c16:uniqueId val="{00000072-9283-2F4D-BFFE-1A16422520C5}"/>
            </c:ext>
          </c:extLst>
        </c:ser>
        <c:ser>
          <c:idx val="17"/>
          <c:order val="17"/>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([1]Cleaned_Data!$J$22,[1]Cleaned_Data!$L$22)</c:f>
              <c:numCache>
                <c:formatCode>General</c:formatCode>
                <c:ptCount val="2"/>
                <c:pt idx="0">
                  <c:v>4</c:v>
                </c:pt>
                <c:pt idx="1">
                  <c:v>5</c:v>
                </c:pt>
              </c:numCache>
            </c:numRef>
          </c:val>
          <c:extLst>
            <c:ext xmlns:c16="http://schemas.microsoft.com/office/drawing/2014/chart" uri="{C3380CC4-5D6E-409C-BE32-E72D297353CC}">
              <c16:uniqueId val="{00000073-9283-2F4D-BFFE-1A16422520C5}"/>
            </c:ext>
          </c:extLst>
        </c:ser>
        <c:ser>
          <c:idx val="18"/>
          <c:order val="18"/>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([1]Cleaned_Data!$J$23,[1]Cleaned_Data!$L$23)</c:f>
              <c:numCache>
                <c:formatCode>General</c:formatCode>
                <c:ptCount val="2"/>
                <c:pt idx="0">
                  <c:v>3</c:v>
                </c:pt>
                <c:pt idx="1">
                  <c:v>4</c:v>
                </c:pt>
              </c:numCache>
            </c:numRef>
          </c:val>
          <c:extLst>
            <c:ext xmlns:c16="http://schemas.microsoft.com/office/drawing/2014/chart" uri="{C3380CC4-5D6E-409C-BE32-E72D297353CC}">
              <c16:uniqueId val="{00000074-9283-2F4D-BFFE-1A16422520C5}"/>
            </c:ext>
          </c:extLst>
        </c:ser>
        <c:ser>
          <c:idx val="19"/>
          <c:order val="19"/>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([1]Cleaned_Data!$J$24,[1]Cleaned_Data!$L$24)</c:f>
              <c:numCache>
                <c:formatCode>General</c:formatCode>
                <c:ptCount val="2"/>
                <c:pt idx="0">
                  <c:v>3</c:v>
                </c:pt>
                <c:pt idx="1">
                  <c:v>4</c:v>
                </c:pt>
              </c:numCache>
            </c:numRef>
          </c:val>
          <c:extLst>
            <c:ext xmlns:c16="http://schemas.microsoft.com/office/drawing/2014/chart" uri="{C3380CC4-5D6E-409C-BE32-E72D297353CC}">
              <c16:uniqueId val="{00000075-9283-2F4D-BFFE-1A16422520C5}"/>
            </c:ext>
          </c:extLst>
        </c:ser>
        <c:ser>
          <c:idx val="20"/>
          <c:order val="20"/>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([1]Cleaned_Data!$J$25,[1]Cleaned_Data!$L$25)</c:f>
              <c:numCache>
                <c:formatCode>General</c:formatCode>
                <c:ptCount val="2"/>
                <c:pt idx="0">
                  <c:v>3</c:v>
                </c:pt>
                <c:pt idx="1">
                  <c:v>5</c:v>
                </c:pt>
              </c:numCache>
            </c:numRef>
          </c:val>
          <c:extLst>
            <c:ext xmlns:c16="http://schemas.microsoft.com/office/drawing/2014/chart" uri="{C3380CC4-5D6E-409C-BE32-E72D297353CC}">
              <c16:uniqueId val="{00000076-9283-2F4D-BFFE-1A16422520C5}"/>
            </c:ext>
          </c:extLst>
        </c:ser>
        <c:ser>
          <c:idx val="21"/>
          <c:order val="21"/>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([1]Cleaned_Data!$J$26,[1]Cleaned_Data!$L$26)</c:f>
              <c:numCache>
                <c:formatCode>General</c:formatCode>
                <c:ptCount val="2"/>
                <c:pt idx="0">
                  <c:v>5</c:v>
                </c:pt>
                <c:pt idx="1">
                  <c:v>5</c:v>
                </c:pt>
              </c:numCache>
            </c:numRef>
          </c:val>
          <c:extLst>
            <c:ext xmlns:c16="http://schemas.microsoft.com/office/drawing/2014/chart" uri="{C3380CC4-5D6E-409C-BE32-E72D297353CC}">
              <c16:uniqueId val="{00000077-9283-2F4D-BFFE-1A16422520C5}"/>
            </c:ext>
          </c:extLst>
        </c:ser>
        <c:ser>
          <c:idx val="22"/>
          <c:order val="22"/>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([1]Cleaned_Data!$J$27,[1]Cleaned_Data!$L$27)</c:f>
              <c:numCache>
                <c:formatCode>General</c:formatCode>
                <c:ptCount val="2"/>
                <c:pt idx="0">
                  <c:v>3</c:v>
                </c:pt>
                <c:pt idx="1">
                  <c:v>4</c:v>
                </c:pt>
              </c:numCache>
            </c:numRef>
          </c:val>
          <c:extLst>
            <c:ext xmlns:c16="http://schemas.microsoft.com/office/drawing/2014/chart" uri="{C3380CC4-5D6E-409C-BE32-E72D297353CC}">
              <c16:uniqueId val="{00000078-9283-2F4D-BFFE-1A16422520C5}"/>
            </c:ext>
          </c:extLst>
        </c:ser>
        <c:ser>
          <c:idx val="23"/>
          <c:order val="23"/>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([1]Cleaned_Data!$J$28,[1]Cleaned_Data!$L$28)</c:f>
              <c:numCache>
                <c:formatCode>General</c:formatCode>
                <c:ptCount val="2"/>
                <c:pt idx="0">
                  <c:v>2</c:v>
                </c:pt>
                <c:pt idx="1">
                  <c:v>4</c:v>
                </c:pt>
              </c:numCache>
            </c:numRef>
          </c:val>
          <c:extLst>
            <c:ext xmlns:c16="http://schemas.microsoft.com/office/drawing/2014/chart" uri="{C3380CC4-5D6E-409C-BE32-E72D297353CC}">
              <c16:uniqueId val="{00000079-9283-2F4D-BFFE-1A16422520C5}"/>
            </c:ext>
          </c:extLst>
        </c:ser>
        <c:ser>
          <c:idx val="24"/>
          <c:order val="24"/>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([1]Cleaned_Data!$J$29,[1]Cleaned_Data!$L$29)</c:f>
              <c:numCache>
                <c:formatCode>General</c:formatCode>
                <c:ptCount val="2"/>
                <c:pt idx="0">
                  <c:v>4</c:v>
                </c:pt>
                <c:pt idx="1">
                  <c:v>4</c:v>
                </c:pt>
              </c:numCache>
            </c:numRef>
          </c:val>
          <c:extLst>
            <c:ext xmlns:c16="http://schemas.microsoft.com/office/drawing/2014/chart" uri="{C3380CC4-5D6E-409C-BE32-E72D297353CC}">
              <c16:uniqueId val="{0000007A-9283-2F4D-BFFE-1A16422520C5}"/>
            </c:ext>
          </c:extLst>
        </c:ser>
        <c:ser>
          <c:idx val="25"/>
          <c:order val="25"/>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([1]Cleaned_Data!$J$30,[1]Cleaned_Data!$L$30)</c:f>
              <c:numCache>
                <c:formatCode>General</c:formatCode>
                <c:ptCount val="2"/>
                <c:pt idx="0">
                  <c:v>4</c:v>
                </c:pt>
                <c:pt idx="1">
                  <c:v>3</c:v>
                </c:pt>
              </c:numCache>
            </c:numRef>
          </c:val>
          <c:extLst>
            <c:ext xmlns:c16="http://schemas.microsoft.com/office/drawing/2014/chart" uri="{C3380CC4-5D6E-409C-BE32-E72D297353CC}">
              <c16:uniqueId val="{0000007B-9283-2F4D-BFFE-1A16422520C5}"/>
            </c:ext>
          </c:extLst>
        </c:ser>
        <c:ser>
          <c:idx val="26"/>
          <c:order val="26"/>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([1]Cleaned_Data!$J$31,[1]Cleaned_Data!$L$31)</c:f>
              <c:numCache>
                <c:formatCode>General</c:formatCode>
                <c:ptCount val="2"/>
                <c:pt idx="0">
                  <c:v>4</c:v>
                </c:pt>
                <c:pt idx="1">
                  <c:v>5</c:v>
                </c:pt>
              </c:numCache>
            </c:numRef>
          </c:val>
          <c:extLst>
            <c:ext xmlns:c16="http://schemas.microsoft.com/office/drawing/2014/chart" uri="{C3380CC4-5D6E-409C-BE32-E72D297353CC}">
              <c16:uniqueId val="{0000007C-9283-2F4D-BFFE-1A16422520C5}"/>
            </c:ext>
          </c:extLst>
        </c:ser>
        <c:ser>
          <c:idx val="27"/>
          <c:order val="27"/>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([1]Cleaned_Data!$J$32,[1]Cleaned_Data!$L$32)</c:f>
              <c:numCache>
                <c:formatCode>General</c:formatCode>
                <c:ptCount val="2"/>
                <c:pt idx="0">
                  <c:v>3</c:v>
                </c:pt>
                <c:pt idx="1">
                  <c:v>5</c:v>
                </c:pt>
              </c:numCache>
            </c:numRef>
          </c:val>
          <c:extLst>
            <c:ext xmlns:c16="http://schemas.microsoft.com/office/drawing/2014/chart" uri="{C3380CC4-5D6E-409C-BE32-E72D297353CC}">
              <c16:uniqueId val="{0000007D-9283-2F4D-BFFE-1A16422520C5}"/>
            </c:ext>
          </c:extLst>
        </c:ser>
        <c:ser>
          <c:idx val="28"/>
          <c:order val="28"/>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([1]Cleaned_Data!$J$33,[1]Cleaned_Data!$L$33)</c:f>
              <c:numCache>
                <c:formatCode>General</c:formatCode>
                <c:ptCount val="2"/>
                <c:pt idx="0">
                  <c:v>1</c:v>
                </c:pt>
                <c:pt idx="1">
                  <c:v>4</c:v>
                </c:pt>
              </c:numCache>
            </c:numRef>
          </c:val>
          <c:extLst>
            <c:ext xmlns:c16="http://schemas.microsoft.com/office/drawing/2014/chart" uri="{C3380CC4-5D6E-409C-BE32-E72D297353CC}">
              <c16:uniqueId val="{0000007E-9283-2F4D-BFFE-1A16422520C5}"/>
            </c:ext>
          </c:extLst>
        </c:ser>
        <c:ser>
          <c:idx val="29"/>
          <c:order val="29"/>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([1]Cleaned_Data!$J$34,[1]Cleaned_Data!$L$34)</c:f>
              <c:numCache>
                <c:formatCode>General</c:formatCode>
                <c:ptCount val="2"/>
                <c:pt idx="0">
                  <c:v>1</c:v>
                </c:pt>
                <c:pt idx="1">
                  <c:v>5</c:v>
                </c:pt>
              </c:numCache>
            </c:numRef>
          </c:val>
          <c:extLst>
            <c:ext xmlns:c16="http://schemas.microsoft.com/office/drawing/2014/chart" uri="{C3380CC4-5D6E-409C-BE32-E72D297353CC}">
              <c16:uniqueId val="{0000007F-9283-2F4D-BFFE-1A16422520C5}"/>
            </c:ext>
          </c:extLst>
        </c:ser>
        <c:ser>
          <c:idx val="30"/>
          <c:order val="30"/>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([1]Cleaned_Data!$J$35,[1]Cleaned_Data!$L$35)</c:f>
              <c:numCache>
                <c:formatCode>General</c:formatCode>
                <c:ptCount val="2"/>
                <c:pt idx="0">
                  <c:v>2</c:v>
                </c:pt>
                <c:pt idx="1">
                  <c:v>4</c:v>
                </c:pt>
              </c:numCache>
            </c:numRef>
          </c:val>
          <c:extLst>
            <c:ext xmlns:c16="http://schemas.microsoft.com/office/drawing/2014/chart" uri="{C3380CC4-5D6E-409C-BE32-E72D297353CC}">
              <c16:uniqueId val="{00000080-9283-2F4D-BFFE-1A16422520C5}"/>
            </c:ext>
          </c:extLst>
        </c:ser>
        <c:ser>
          <c:idx val="31"/>
          <c:order val="31"/>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([1]Cleaned_Data!$J$36,[1]Cleaned_Data!$L$36)</c:f>
              <c:numCache>
                <c:formatCode>General</c:formatCode>
                <c:ptCount val="2"/>
                <c:pt idx="0">
                  <c:v>4</c:v>
                </c:pt>
                <c:pt idx="1">
                  <c:v>5</c:v>
                </c:pt>
              </c:numCache>
            </c:numRef>
          </c:val>
          <c:extLst>
            <c:ext xmlns:c16="http://schemas.microsoft.com/office/drawing/2014/chart" uri="{C3380CC4-5D6E-409C-BE32-E72D297353CC}">
              <c16:uniqueId val="{00000081-9283-2F4D-BFFE-1A16422520C5}"/>
            </c:ext>
          </c:extLst>
        </c:ser>
        <c:ser>
          <c:idx val="32"/>
          <c:order val="32"/>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([1]Cleaned_Data!$J$37,[1]Cleaned_Data!$L$37)</c:f>
              <c:numCache>
                <c:formatCode>General</c:formatCode>
                <c:ptCount val="2"/>
                <c:pt idx="0">
                  <c:v>4</c:v>
                </c:pt>
                <c:pt idx="1">
                  <c:v>5</c:v>
                </c:pt>
              </c:numCache>
            </c:numRef>
          </c:val>
          <c:extLst>
            <c:ext xmlns:c16="http://schemas.microsoft.com/office/drawing/2014/chart" uri="{C3380CC4-5D6E-409C-BE32-E72D297353CC}">
              <c16:uniqueId val="{00000082-9283-2F4D-BFFE-1A16422520C5}"/>
            </c:ext>
          </c:extLst>
        </c:ser>
        <c:ser>
          <c:idx val="33"/>
          <c:order val="33"/>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([1]Cleaned_Data!$J$38,[1]Cleaned_Data!$L$38)</c:f>
              <c:numCache>
                <c:formatCode>General</c:formatCode>
                <c:ptCount val="2"/>
                <c:pt idx="0">
                  <c:v>5</c:v>
                </c:pt>
                <c:pt idx="1">
                  <c:v>5</c:v>
                </c:pt>
              </c:numCache>
            </c:numRef>
          </c:val>
          <c:extLst>
            <c:ext xmlns:c16="http://schemas.microsoft.com/office/drawing/2014/chart" uri="{C3380CC4-5D6E-409C-BE32-E72D297353CC}">
              <c16:uniqueId val="{00000083-9283-2F4D-BFFE-1A16422520C5}"/>
            </c:ext>
          </c:extLst>
        </c:ser>
        <c:ser>
          <c:idx val="34"/>
          <c:order val="34"/>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([1]Cleaned_Data!$J$39,[1]Cleaned_Data!$L$39)</c:f>
              <c:numCache>
                <c:formatCode>General</c:formatCode>
                <c:ptCount val="2"/>
                <c:pt idx="0">
                  <c:v>3</c:v>
                </c:pt>
                <c:pt idx="1">
                  <c:v>4</c:v>
                </c:pt>
              </c:numCache>
            </c:numRef>
          </c:val>
          <c:extLst>
            <c:ext xmlns:c16="http://schemas.microsoft.com/office/drawing/2014/chart" uri="{C3380CC4-5D6E-409C-BE32-E72D297353CC}">
              <c16:uniqueId val="{00000084-9283-2F4D-BFFE-1A16422520C5}"/>
            </c:ext>
          </c:extLst>
        </c:ser>
        <c:ser>
          <c:idx val="35"/>
          <c:order val="35"/>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([1]Cleaned_Data!$J$40,[1]Cleaned_Data!$L$40)</c:f>
              <c:numCache>
                <c:formatCode>General</c:formatCode>
                <c:ptCount val="2"/>
                <c:pt idx="0">
                  <c:v>3</c:v>
                </c:pt>
                <c:pt idx="1">
                  <c:v>5</c:v>
                </c:pt>
              </c:numCache>
            </c:numRef>
          </c:val>
          <c:extLst>
            <c:ext xmlns:c16="http://schemas.microsoft.com/office/drawing/2014/chart" uri="{C3380CC4-5D6E-409C-BE32-E72D297353CC}">
              <c16:uniqueId val="{00000085-9283-2F4D-BFFE-1A16422520C5}"/>
            </c:ext>
          </c:extLst>
        </c:ser>
        <c:ser>
          <c:idx val="36"/>
          <c:order val="36"/>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([1]Cleaned_Data!$J$41,[1]Cleaned_Data!$L$41)</c:f>
              <c:numCache>
                <c:formatCode>General</c:formatCode>
                <c:ptCount val="2"/>
                <c:pt idx="0">
                  <c:v>5</c:v>
                </c:pt>
                <c:pt idx="1">
                  <c:v>5</c:v>
                </c:pt>
              </c:numCache>
            </c:numRef>
          </c:val>
          <c:extLst>
            <c:ext xmlns:c16="http://schemas.microsoft.com/office/drawing/2014/chart" uri="{C3380CC4-5D6E-409C-BE32-E72D297353CC}">
              <c16:uniqueId val="{00000086-9283-2F4D-BFFE-1A16422520C5}"/>
            </c:ext>
          </c:extLst>
        </c:ser>
        <c:ser>
          <c:idx val="37"/>
          <c:order val="37"/>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([1]Cleaned_Data!$J$42,[1]Cleaned_Data!$L$42)</c:f>
              <c:numCache>
                <c:formatCode>General</c:formatCode>
                <c:ptCount val="2"/>
                <c:pt idx="0">
                  <c:v>2</c:v>
                </c:pt>
                <c:pt idx="1">
                  <c:v>3</c:v>
                </c:pt>
              </c:numCache>
            </c:numRef>
          </c:val>
          <c:extLst>
            <c:ext xmlns:c16="http://schemas.microsoft.com/office/drawing/2014/chart" uri="{C3380CC4-5D6E-409C-BE32-E72D297353CC}">
              <c16:uniqueId val="{00000087-9283-2F4D-BFFE-1A16422520C5}"/>
            </c:ext>
          </c:extLst>
        </c:ser>
        <c:ser>
          <c:idx val="38"/>
          <c:order val="38"/>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([1]Cleaned_Data!$J$43,[1]Cleaned_Data!$L$43)</c:f>
              <c:numCache>
                <c:formatCode>General</c:formatCode>
                <c:ptCount val="2"/>
                <c:pt idx="0">
                  <c:v>4</c:v>
                </c:pt>
                <c:pt idx="1">
                  <c:v>4</c:v>
                </c:pt>
              </c:numCache>
            </c:numRef>
          </c:val>
          <c:extLst>
            <c:ext xmlns:c16="http://schemas.microsoft.com/office/drawing/2014/chart" uri="{C3380CC4-5D6E-409C-BE32-E72D297353CC}">
              <c16:uniqueId val="{00000088-9283-2F4D-BFFE-1A16422520C5}"/>
            </c:ext>
          </c:extLst>
        </c:ser>
        <c:ser>
          <c:idx val="39"/>
          <c:order val="39"/>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([1]Cleaned_Data!$J$44,[1]Cleaned_Data!$L$44)</c:f>
              <c:numCache>
                <c:formatCode>General</c:formatCode>
                <c:ptCount val="2"/>
                <c:pt idx="0">
                  <c:v>2</c:v>
                </c:pt>
                <c:pt idx="1">
                  <c:v>4</c:v>
                </c:pt>
              </c:numCache>
            </c:numRef>
          </c:val>
          <c:extLst>
            <c:ext xmlns:c16="http://schemas.microsoft.com/office/drawing/2014/chart" uri="{C3380CC4-5D6E-409C-BE32-E72D297353CC}">
              <c16:uniqueId val="{00000089-9283-2F4D-BFFE-1A16422520C5}"/>
            </c:ext>
          </c:extLst>
        </c:ser>
        <c:ser>
          <c:idx val="40"/>
          <c:order val="40"/>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([1]Cleaned_Data!$J$45,[1]Cleaned_Data!$L$45)</c:f>
              <c:numCache>
                <c:formatCode>General</c:formatCode>
                <c:ptCount val="2"/>
                <c:pt idx="0">
                  <c:v>2</c:v>
                </c:pt>
                <c:pt idx="1">
                  <c:v>5</c:v>
                </c:pt>
              </c:numCache>
            </c:numRef>
          </c:val>
          <c:extLst>
            <c:ext xmlns:c16="http://schemas.microsoft.com/office/drawing/2014/chart" uri="{C3380CC4-5D6E-409C-BE32-E72D297353CC}">
              <c16:uniqueId val="{0000008A-9283-2F4D-BFFE-1A16422520C5}"/>
            </c:ext>
          </c:extLst>
        </c:ser>
        <c:ser>
          <c:idx val="41"/>
          <c:order val="41"/>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([1]Cleaned_Data!$J$46,[1]Cleaned_Data!$L$46)</c:f>
              <c:numCache>
                <c:formatCode>General</c:formatCode>
                <c:ptCount val="2"/>
                <c:pt idx="0">
                  <c:v>2</c:v>
                </c:pt>
                <c:pt idx="1">
                  <c:v>5</c:v>
                </c:pt>
              </c:numCache>
            </c:numRef>
          </c:val>
          <c:extLst>
            <c:ext xmlns:c16="http://schemas.microsoft.com/office/drawing/2014/chart" uri="{C3380CC4-5D6E-409C-BE32-E72D297353CC}">
              <c16:uniqueId val="{0000008B-9283-2F4D-BFFE-1A16422520C5}"/>
            </c:ext>
          </c:extLst>
        </c:ser>
        <c:ser>
          <c:idx val="42"/>
          <c:order val="42"/>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([1]Cleaned_Data!$J$47,[1]Cleaned_Data!$L$47)</c:f>
              <c:numCache>
                <c:formatCode>General</c:formatCode>
                <c:ptCount val="2"/>
                <c:pt idx="0">
                  <c:v>3</c:v>
                </c:pt>
                <c:pt idx="1">
                  <c:v>5</c:v>
                </c:pt>
              </c:numCache>
            </c:numRef>
          </c:val>
          <c:extLst>
            <c:ext xmlns:c16="http://schemas.microsoft.com/office/drawing/2014/chart" uri="{C3380CC4-5D6E-409C-BE32-E72D297353CC}">
              <c16:uniqueId val="{0000008C-9283-2F4D-BFFE-1A16422520C5}"/>
            </c:ext>
          </c:extLst>
        </c:ser>
        <c:ser>
          <c:idx val="43"/>
          <c:order val="43"/>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([1]Cleaned_Data!$J$48,[1]Cleaned_Data!$L$48)</c:f>
              <c:numCache>
                <c:formatCode>General</c:formatCode>
                <c:ptCount val="2"/>
                <c:pt idx="0">
                  <c:v>3</c:v>
                </c:pt>
                <c:pt idx="1">
                  <c:v>4</c:v>
                </c:pt>
              </c:numCache>
            </c:numRef>
          </c:val>
          <c:extLst>
            <c:ext xmlns:c16="http://schemas.microsoft.com/office/drawing/2014/chart" uri="{C3380CC4-5D6E-409C-BE32-E72D297353CC}">
              <c16:uniqueId val="{0000008D-9283-2F4D-BFFE-1A16422520C5}"/>
            </c:ext>
          </c:extLst>
        </c:ser>
        <c:ser>
          <c:idx val="44"/>
          <c:order val="44"/>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([1]Cleaned_Data!$J$49,[1]Cleaned_Data!$L$49)</c:f>
              <c:numCache>
                <c:formatCode>General</c:formatCode>
                <c:ptCount val="2"/>
                <c:pt idx="0">
                  <c:v>2</c:v>
                </c:pt>
                <c:pt idx="1">
                  <c:v>5</c:v>
                </c:pt>
              </c:numCache>
            </c:numRef>
          </c:val>
          <c:extLst>
            <c:ext xmlns:c16="http://schemas.microsoft.com/office/drawing/2014/chart" uri="{C3380CC4-5D6E-409C-BE32-E72D297353CC}">
              <c16:uniqueId val="{0000008E-9283-2F4D-BFFE-1A16422520C5}"/>
            </c:ext>
          </c:extLst>
        </c:ser>
        <c:ser>
          <c:idx val="45"/>
          <c:order val="45"/>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([1]Cleaned_Data!$J$50,[1]Cleaned_Data!$L$50)</c:f>
              <c:numCache>
                <c:formatCode>General</c:formatCode>
                <c:ptCount val="2"/>
                <c:pt idx="0">
                  <c:v>3</c:v>
                </c:pt>
                <c:pt idx="1">
                  <c:v>4</c:v>
                </c:pt>
              </c:numCache>
            </c:numRef>
          </c:val>
          <c:extLst>
            <c:ext xmlns:c16="http://schemas.microsoft.com/office/drawing/2014/chart" uri="{C3380CC4-5D6E-409C-BE32-E72D297353CC}">
              <c16:uniqueId val="{0000008F-9283-2F4D-BFFE-1A16422520C5}"/>
            </c:ext>
          </c:extLst>
        </c:ser>
        <c:ser>
          <c:idx val="46"/>
          <c:order val="46"/>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([1]Cleaned_Data!$J$51,[1]Cleaned_Data!$L$51)</c:f>
              <c:numCache>
                <c:formatCode>General</c:formatCode>
                <c:ptCount val="2"/>
                <c:pt idx="0">
                  <c:v>2</c:v>
                </c:pt>
                <c:pt idx="1">
                  <c:v>4</c:v>
                </c:pt>
              </c:numCache>
            </c:numRef>
          </c:val>
          <c:extLst>
            <c:ext xmlns:c16="http://schemas.microsoft.com/office/drawing/2014/chart" uri="{C3380CC4-5D6E-409C-BE32-E72D297353CC}">
              <c16:uniqueId val="{00000090-9283-2F4D-BFFE-1A16422520C5}"/>
            </c:ext>
          </c:extLst>
        </c:ser>
        <c:ser>
          <c:idx val="47"/>
          <c:order val="47"/>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([1]Cleaned_Data!$J$52,[1]Cleaned_Data!$L$52)</c:f>
              <c:numCache>
                <c:formatCode>General</c:formatCode>
                <c:ptCount val="2"/>
                <c:pt idx="0">
                  <c:v>3</c:v>
                </c:pt>
                <c:pt idx="1">
                  <c:v>4</c:v>
                </c:pt>
              </c:numCache>
            </c:numRef>
          </c:val>
          <c:extLst>
            <c:ext xmlns:c16="http://schemas.microsoft.com/office/drawing/2014/chart" uri="{C3380CC4-5D6E-409C-BE32-E72D297353CC}">
              <c16:uniqueId val="{00000091-9283-2F4D-BFFE-1A16422520C5}"/>
            </c:ext>
          </c:extLst>
        </c:ser>
        <c:ser>
          <c:idx val="48"/>
          <c:order val="48"/>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([1]Cleaned_Data!$J$53,[1]Cleaned_Data!$L$53)</c:f>
              <c:numCache>
                <c:formatCode>General</c:formatCode>
                <c:ptCount val="2"/>
                <c:pt idx="0">
                  <c:v>3</c:v>
                </c:pt>
                <c:pt idx="1">
                  <c:v>5</c:v>
                </c:pt>
              </c:numCache>
            </c:numRef>
          </c:val>
          <c:extLst>
            <c:ext xmlns:c16="http://schemas.microsoft.com/office/drawing/2014/chart" uri="{C3380CC4-5D6E-409C-BE32-E72D297353CC}">
              <c16:uniqueId val="{00000092-9283-2F4D-BFFE-1A16422520C5}"/>
            </c:ext>
          </c:extLst>
        </c:ser>
        <c:ser>
          <c:idx val="49"/>
          <c:order val="49"/>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([1]Cleaned_Data!$J$54,[1]Cleaned_Data!$L$54)</c:f>
              <c:numCache>
                <c:formatCode>General</c:formatCode>
                <c:ptCount val="2"/>
                <c:pt idx="0">
                  <c:v>3</c:v>
                </c:pt>
                <c:pt idx="1">
                  <c:v>4</c:v>
                </c:pt>
              </c:numCache>
            </c:numRef>
          </c:val>
          <c:extLst>
            <c:ext xmlns:c16="http://schemas.microsoft.com/office/drawing/2014/chart" uri="{C3380CC4-5D6E-409C-BE32-E72D297353CC}">
              <c16:uniqueId val="{00000093-9283-2F4D-BFFE-1A16422520C5}"/>
            </c:ext>
          </c:extLst>
        </c:ser>
        <c:ser>
          <c:idx val="50"/>
          <c:order val="50"/>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([1]Cleaned_Data!$J$55,[1]Cleaned_Data!$L$55)</c:f>
              <c:numCache>
                <c:formatCode>General</c:formatCode>
                <c:ptCount val="2"/>
                <c:pt idx="0">
                  <c:v>3</c:v>
                </c:pt>
                <c:pt idx="1">
                  <c:v>5</c:v>
                </c:pt>
              </c:numCache>
            </c:numRef>
          </c:val>
          <c:extLst>
            <c:ext xmlns:c16="http://schemas.microsoft.com/office/drawing/2014/chart" uri="{C3380CC4-5D6E-409C-BE32-E72D297353CC}">
              <c16:uniqueId val="{00000094-9283-2F4D-BFFE-1A16422520C5}"/>
            </c:ext>
          </c:extLst>
        </c:ser>
        <c:ser>
          <c:idx val="51"/>
          <c:order val="51"/>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([1]Cleaned_Data!$J$56,[1]Cleaned_Data!$L$56)</c:f>
              <c:numCache>
                <c:formatCode>General</c:formatCode>
                <c:ptCount val="2"/>
                <c:pt idx="0">
                  <c:v>2</c:v>
                </c:pt>
                <c:pt idx="1">
                  <c:v>4</c:v>
                </c:pt>
              </c:numCache>
            </c:numRef>
          </c:val>
          <c:extLst>
            <c:ext xmlns:c16="http://schemas.microsoft.com/office/drawing/2014/chart" uri="{C3380CC4-5D6E-409C-BE32-E72D297353CC}">
              <c16:uniqueId val="{00000095-9283-2F4D-BFFE-1A16422520C5}"/>
            </c:ext>
          </c:extLst>
        </c:ser>
        <c:ser>
          <c:idx val="52"/>
          <c:order val="52"/>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([1]Cleaned_Data!$J$57,[1]Cleaned_Data!$L$57)</c:f>
              <c:numCache>
                <c:formatCode>General</c:formatCode>
                <c:ptCount val="2"/>
                <c:pt idx="0">
                  <c:v>4</c:v>
                </c:pt>
                <c:pt idx="1">
                  <c:v>5</c:v>
                </c:pt>
              </c:numCache>
            </c:numRef>
          </c:val>
          <c:extLst>
            <c:ext xmlns:c16="http://schemas.microsoft.com/office/drawing/2014/chart" uri="{C3380CC4-5D6E-409C-BE32-E72D297353CC}">
              <c16:uniqueId val="{00000096-9283-2F4D-BFFE-1A16422520C5}"/>
            </c:ext>
          </c:extLst>
        </c:ser>
        <c:ser>
          <c:idx val="53"/>
          <c:order val="53"/>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([1]Cleaned_Data!$J$58,[1]Cleaned_Data!$L$58)</c:f>
              <c:numCache>
                <c:formatCode>General</c:formatCode>
                <c:ptCount val="2"/>
                <c:pt idx="0">
                  <c:v>2</c:v>
                </c:pt>
                <c:pt idx="1">
                  <c:v>4</c:v>
                </c:pt>
              </c:numCache>
            </c:numRef>
          </c:val>
          <c:extLst>
            <c:ext xmlns:c16="http://schemas.microsoft.com/office/drawing/2014/chart" uri="{C3380CC4-5D6E-409C-BE32-E72D297353CC}">
              <c16:uniqueId val="{00000097-9283-2F4D-BFFE-1A16422520C5}"/>
            </c:ext>
          </c:extLst>
        </c:ser>
        <c:ser>
          <c:idx val="54"/>
          <c:order val="54"/>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([1]Cleaned_Data!$J$59,[1]Cleaned_Data!$L$59)</c:f>
              <c:numCache>
                <c:formatCode>General</c:formatCode>
                <c:ptCount val="2"/>
                <c:pt idx="0">
                  <c:v>3</c:v>
                </c:pt>
                <c:pt idx="1">
                  <c:v>5</c:v>
                </c:pt>
              </c:numCache>
            </c:numRef>
          </c:val>
          <c:extLst>
            <c:ext xmlns:c16="http://schemas.microsoft.com/office/drawing/2014/chart" uri="{C3380CC4-5D6E-409C-BE32-E72D297353CC}">
              <c16:uniqueId val="{00000098-9283-2F4D-BFFE-1A16422520C5}"/>
            </c:ext>
          </c:extLst>
        </c:ser>
        <c:ser>
          <c:idx val="55"/>
          <c:order val="55"/>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([1]Cleaned_Data!$J$60,[1]Cleaned_Data!$L$60)</c:f>
              <c:numCache>
                <c:formatCode>General</c:formatCode>
                <c:ptCount val="2"/>
                <c:pt idx="0">
                  <c:v>4</c:v>
                </c:pt>
                <c:pt idx="1">
                  <c:v>4</c:v>
                </c:pt>
              </c:numCache>
            </c:numRef>
          </c:val>
          <c:extLst>
            <c:ext xmlns:c16="http://schemas.microsoft.com/office/drawing/2014/chart" uri="{C3380CC4-5D6E-409C-BE32-E72D297353CC}">
              <c16:uniqueId val="{00000099-9283-2F4D-BFFE-1A16422520C5}"/>
            </c:ext>
          </c:extLst>
        </c:ser>
        <c:ser>
          <c:idx val="56"/>
          <c:order val="56"/>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([1]Cleaned_Data!$J$61,[1]Cleaned_Data!$L$61)</c:f>
              <c:numCache>
                <c:formatCode>General</c:formatCode>
                <c:ptCount val="2"/>
                <c:pt idx="0">
                  <c:v>2</c:v>
                </c:pt>
                <c:pt idx="1">
                  <c:v>4</c:v>
                </c:pt>
              </c:numCache>
            </c:numRef>
          </c:val>
          <c:extLst>
            <c:ext xmlns:c16="http://schemas.microsoft.com/office/drawing/2014/chart" uri="{C3380CC4-5D6E-409C-BE32-E72D297353CC}">
              <c16:uniqueId val="{0000009A-9283-2F4D-BFFE-1A16422520C5}"/>
            </c:ext>
          </c:extLst>
        </c:ser>
        <c:ser>
          <c:idx val="57"/>
          <c:order val="57"/>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([1]Cleaned_Data!$J$62,[1]Cleaned_Data!$L$62)</c:f>
              <c:numCache>
                <c:formatCode>General</c:formatCode>
                <c:ptCount val="2"/>
                <c:pt idx="0">
                  <c:v>3</c:v>
                </c:pt>
                <c:pt idx="1">
                  <c:v>5</c:v>
                </c:pt>
              </c:numCache>
            </c:numRef>
          </c:val>
          <c:extLst>
            <c:ext xmlns:c16="http://schemas.microsoft.com/office/drawing/2014/chart" uri="{C3380CC4-5D6E-409C-BE32-E72D297353CC}">
              <c16:uniqueId val="{0000009B-9283-2F4D-BFFE-1A16422520C5}"/>
            </c:ext>
          </c:extLst>
        </c:ser>
        <c:ser>
          <c:idx val="58"/>
          <c:order val="58"/>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([1]Cleaned_Data!$J$63,[1]Cleaned_Data!$L$63)</c:f>
              <c:numCache>
                <c:formatCode>General</c:formatCode>
                <c:ptCount val="2"/>
                <c:pt idx="0">
                  <c:v>3</c:v>
                </c:pt>
                <c:pt idx="1">
                  <c:v>5</c:v>
                </c:pt>
              </c:numCache>
            </c:numRef>
          </c:val>
          <c:extLst>
            <c:ext xmlns:c16="http://schemas.microsoft.com/office/drawing/2014/chart" uri="{C3380CC4-5D6E-409C-BE32-E72D297353CC}">
              <c16:uniqueId val="{0000009C-9283-2F4D-BFFE-1A16422520C5}"/>
            </c:ext>
          </c:extLst>
        </c:ser>
        <c:ser>
          <c:idx val="59"/>
          <c:order val="59"/>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([1]Cleaned_Data!$J$64,[1]Cleaned_Data!$L$64)</c:f>
              <c:numCache>
                <c:formatCode>General</c:formatCode>
                <c:ptCount val="2"/>
                <c:pt idx="0">
                  <c:v>3</c:v>
                </c:pt>
                <c:pt idx="1">
                  <c:v>5</c:v>
                </c:pt>
              </c:numCache>
            </c:numRef>
          </c:val>
          <c:extLst>
            <c:ext xmlns:c16="http://schemas.microsoft.com/office/drawing/2014/chart" uri="{C3380CC4-5D6E-409C-BE32-E72D297353CC}">
              <c16:uniqueId val="{0000009D-9283-2F4D-BFFE-1A16422520C5}"/>
            </c:ext>
          </c:extLst>
        </c:ser>
        <c:ser>
          <c:idx val="60"/>
          <c:order val="60"/>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([1]Cleaned_Data!$J$65,[1]Cleaned_Data!$L$65)</c:f>
              <c:numCache>
                <c:formatCode>General</c:formatCode>
                <c:ptCount val="2"/>
                <c:pt idx="0">
                  <c:v>3</c:v>
                </c:pt>
                <c:pt idx="1">
                  <c:v>3</c:v>
                </c:pt>
              </c:numCache>
            </c:numRef>
          </c:val>
          <c:extLst>
            <c:ext xmlns:c16="http://schemas.microsoft.com/office/drawing/2014/chart" uri="{C3380CC4-5D6E-409C-BE32-E72D297353CC}">
              <c16:uniqueId val="{0000009E-9283-2F4D-BFFE-1A16422520C5}"/>
            </c:ext>
          </c:extLst>
        </c:ser>
        <c:ser>
          <c:idx val="61"/>
          <c:order val="61"/>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([1]Cleaned_Data!$J$66,[1]Cleaned_Data!$L$66)</c:f>
              <c:numCache>
                <c:formatCode>General</c:formatCode>
                <c:ptCount val="2"/>
                <c:pt idx="0">
                  <c:v>2</c:v>
                </c:pt>
                <c:pt idx="1">
                  <c:v>4</c:v>
                </c:pt>
              </c:numCache>
            </c:numRef>
          </c:val>
          <c:extLst>
            <c:ext xmlns:c16="http://schemas.microsoft.com/office/drawing/2014/chart" uri="{C3380CC4-5D6E-409C-BE32-E72D297353CC}">
              <c16:uniqueId val="{0000009F-9283-2F4D-BFFE-1A16422520C5}"/>
            </c:ext>
          </c:extLst>
        </c:ser>
        <c:ser>
          <c:idx val="62"/>
          <c:order val="62"/>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([1]Cleaned_Data!$J$67,[1]Cleaned_Data!$L$67)</c:f>
              <c:numCache>
                <c:formatCode>General</c:formatCode>
                <c:ptCount val="2"/>
                <c:pt idx="0">
                  <c:v>2</c:v>
                </c:pt>
                <c:pt idx="1">
                  <c:v>5</c:v>
                </c:pt>
              </c:numCache>
            </c:numRef>
          </c:val>
          <c:extLst>
            <c:ext xmlns:c16="http://schemas.microsoft.com/office/drawing/2014/chart" uri="{C3380CC4-5D6E-409C-BE32-E72D297353CC}">
              <c16:uniqueId val="{000000A0-9283-2F4D-BFFE-1A16422520C5}"/>
            </c:ext>
          </c:extLst>
        </c:ser>
        <c:ser>
          <c:idx val="63"/>
          <c:order val="63"/>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([1]Cleaned_Data!$J$68,[1]Cleaned_Data!$L$68)</c:f>
              <c:numCache>
                <c:formatCode>General</c:formatCode>
                <c:ptCount val="2"/>
                <c:pt idx="0">
                  <c:v>3</c:v>
                </c:pt>
                <c:pt idx="1">
                  <c:v>5</c:v>
                </c:pt>
              </c:numCache>
            </c:numRef>
          </c:val>
          <c:extLst>
            <c:ext xmlns:c16="http://schemas.microsoft.com/office/drawing/2014/chart" uri="{C3380CC4-5D6E-409C-BE32-E72D297353CC}">
              <c16:uniqueId val="{000000A1-9283-2F4D-BFFE-1A16422520C5}"/>
            </c:ext>
          </c:extLst>
        </c:ser>
        <c:ser>
          <c:idx val="64"/>
          <c:order val="64"/>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([1]Cleaned_Data!$J$69,[1]Cleaned_Data!$L$69)</c:f>
              <c:numCache>
                <c:formatCode>General</c:formatCode>
                <c:ptCount val="2"/>
                <c:pt idx="0">
                  <c:v>3</c:v>
                </c:pt>
                <c:pt idx="1">
                  <c:v>5</c:v>
                </c:pt>
              </c:numCache>
            </c:numRef>
          </c:val>
          <c:extLst>
            <c:ext xmlns:c16="http://schemas.microsoft.com/office/drawing/2014/chart" uri="{C3380CC4-5D6E-409C-BE32-E72D297353CC}">
              <c16:uniqueId val="{000000A2-9283-2F4D-BFFE-1A16422520C5}"/>
            </c:ext>
          </c:extLst>
        </c:ser>
        <c:ser>
          <c:idx val="65"/>
          <c:order val="65"/>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([1]Cleaned_Data!$J$70,[1]Cleaned_Data!$L$70)</c:f>
              <c:numCache>
                <c:formatCode>General</c:formatCode>
                <c:ptCount val="2"/>
                <c:pt idx="0">
                  <c:v>5</c:v>
                </c:pt>
                <c:pt idx="1">
                  <c:v>5</c:v>
                </c:pt>
              </c:numCache>
            </c:numRef>
          </c:val>
          <c:extLst>
            <c:ext xmlns:c16="http://schemas.microsoft.com/office/drawing/2014/chart" uri="{C3380CC4-5D6E-409C-BE32-E72D297353CC}">
              <c16:uniqueId val="{000000A3-9283-2F4D-BFFE-1A16422520C5}"/>
            </c:ext>
          </c:extLst>
        </c:ser>
        <c:ser>
          <c:idx val="66"/>
          <c:order val="66"/>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([1]Cleaned_Data!$J$71,[1]Cleaned_Data!$L$71)</c:f>
              <c:numCache>
                <c:formatCode>General</c:formatCode>
                <c:ptCount val="2"/>
                <c:pt idx="0">
                  <c:v>4</c:v>
                </c:pt>
                <c:pt idx="1">
                  <c:v>4</c:v>
                </c:pt>
              </c:numCache>
            </c:numRef>
          </c:val>
          <c:extLst>
            <c:ext xmlns:c16="http://schemas.microsoft.com/office/drawing/2014/chart" uri="{C3380CC4-5D6E-409C-BE32-E72D297353CC}">
              <c16:uniqueId val="{000000A4-9283-2F4D-BFFE-1A16422520C5}"/>
            </c:ext>
          </c:extLst>
        </c:ser>
        <c:ser>
          <c:idx val="67"/>
          <c:order val="67"/>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([1]Cleaned_Data!$J$72,[1]Cleaned_Data!$L$72)</c:f>
              <c:numCache>
                <c:formatCode>General</c:formatCode>
                <c:ptCount val="2"/>
                <c:pt idx="0">
                  <c:v>3</c:v>
                </c:pt>
                <c:pt idx="1">
                  <c:v>4</c:v>
                </c:pt>
              </c:numCache>
            </c:numRef>
          </c:val>
          <c:extLst>
            <c:ext xmlns:c16="http://schemas.microsoft.com/office/drawing/2014/chart" uri="{C3380CC4-5D6E-409C-BE32-E72D297353CC}">
              <c16:uniqueId val="{000000A5-9283-2F4D-BFFE-1A16422520C5}"/>
            </c:ext>
          </c:extLst>
        </c:ser>
        <c:ser>
          <c:idx val="68"/>
          <c:order val="68"/>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([1]Cleaned_Data!$J$73,[1]Cleaned_Data!$L$73)</c:f>
              <c:numCache>
                <c:formatCode>General</c:formatCode>
                <c:ptCount val="2"/>
                <c:pt idx="0">
                  <c:v>2</c:v>
                </c:pt>
                <c:pt idx="1">
                  <c:v>5</c:v>
                </c:pt>
              </c:numCache>
            </c:numRef>
          </c:val>
          <c:extLst>
            <c:ext xmlns:c16="http://schemas.microsoft.com/office/drawing/2014/chart" uri="{C3380CC4-5D6E-409C-BE32-E72D297353CC}">
              <c16:uniqueId val="{000000A6-9283-2F4D-BFFE-1A16422520C5}"/>
            </c:ext>
          </c:extLst>
        </c:ser>
        <c:ser>
          <c:idx val="69"/>
          <c:order val="69"/>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([1]Cleaned_Data!$J$74,[1]Cleaned_Data!$L$74)</c:f>
              <c:numCache>
                <c:formatCode>General</c:formatCode>
                <c:ptCount val="2"/>
                <c:pt idx="0">
                  <c:v>1</c:v>
                </c:pt>
                <c:pt idx="1">
                  <c:v>3</c:v>
                </c:pt>
              </c:numCache>
            </c:numRef>
          </c:val>
          <c:extLst>
            <c:ext xmlns:c16="http://schemas.microsoft.com/office/drawing/2014/chart" uri="{C3380CC4-5D6E-409C-BE32-E72D297353CC}">
              <c16:uniqueId val="{000000A7-9283-2F4D-BFFE-1A16422520C5}"/>
            </c:ext>
          </c:extLst>
        </c:ser>
        <c:ser>
          <c:idx val="70"/>
          <c:order val="70"/>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([1]Cleaned_Data!$J$75,[1]Cleaned_Data!$L$75)</c:f>
              <c:numCache>
                <c:formatCode>General</c:formatCode>
                <c:ptCount val="2"/>
                <c:pt idx="0">
                  <c:v>2</c:v>
                </c:pt>
                <c:pt idx="1">
                  <c:v>5</c:v>
                </c:pt>
              </c:numCache>
            </c:numRef>
          </c:val>
          <c:extLst>
            <c:ext xmlns:c16="http://schemas.microsoft.com/office/drawing/2014/chart" uri="{C3380CC4-5D6E-409C-BE32-E72D297353CC}">
              <c16:uniqueId val="{000000A8-9283-2F4D-BFFE-1A16422520C5}"/>
            </c:ext>
          </c:extLst>
        </c:ser>
        <c:ser>
          <c:idx val="71"/>
          <c:order val="71"/>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([1]Cleaned_Data!$J$76,[1]Cleaned_Data!$L$76)</c:f>
              <c:numCache>
                <c:formatCode>General</c:formatCode>
                <c:ptCount val="2"/>
                <c:pt idx="0">
                  <c:v>2</c:v>
                </c:pt>
                <c:pt idx="1">
                  <c:v>4</c:v>
                </c:pt>
              </c:numCache>
            </c:numRef>
          </c:val>
          <c:extLst>
            <c:ext xmlns:c16="http://schemas.microsoft.com/office/drawing/2014/chart" uri="{C3380CC4-5D6E-409C-BE32-E72D297353CC}">
              <c16:uniqueId val="{000000A9-9283-2F4D-BFFE-1A16422520C5}"/>
            </c:ext>
          </c:extLst>
        </c:ser>
        <c:ser>
          <c:idx val="72"/>
          <c:order val="72"/>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([1]Cleaned_Data!$J$77,[1]Cleaned_Data!$L$77)</c:f>
              <c:numCache>
                <c:formatCode>General</c:formatCode>
                <c:ptCount val="2"/>
                <c:pt idx="0">
                  <c:v>4</c:v>
                </c:pt>
                <c:pt idx="1">
                  <c:v>5</c:v>
                </c:pt>
              </c:numCache>
            </c:numRef>
          </c:val>
          <c:extLst>
            <c:ext xmlns:c16="http://schemas.microsoft.com/office/drawing/2014/chart" uri="{C3380CC4-5D6E-409C-BE32-E72D297353CC}">
              <c16:uniqueId val="{000000AA-9283-2F4D-BFFE-1A16422520C5}"/>
            </c:ext>
          </c:extLst>
        </c:ser>
        <c:ser>
          <c:idx val="73"/>
          <c:order val="73"/>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([1]Cleaned_Data!$J$78,[1]Cleaned_Data!$L$78)</c:f>
              <c:numCache>
                <c:formatCode>General</c:formatCode>
                <c:ptCount val="2"/>
                <c:pt idx="0">
                  <c:v>2</c:v>
                </c:pt>
                <c:pt idx="1">
                  <c:v>5</c:v>
                </c:pt>
              </c:numCache>
            </c:numRef>
          </c:val>
          <c:extLst>
            <c:ext xmlns:c16="http://schemas.microsoft.com/office/drawing/2014/chart" uri="{C3380CC4-5D6E-409C-BE32-E72D297353CC}">
              <c16:uniqueId val="{000000AB-9283-2F4D-BFFE-1A16422520C5}"/>
            </c:ext>
          </c:extLst>
        </c:ser>
        <c:ser>
          <c:idx val="74"/>
          <c:order val="74"/>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([1]Cleaned_Data!$J$79,[1]Cleaned_Data!$L$79)</c:f>
              <c:numCache>
                <c:formatCode>General</c:formatCode>
                <c:ptCount val="2"/>
                <c:pt idx="0">
                  <c:v>2</c:v>
                </c:pt>
                <c:pt idx="1">
                  <c:v>4</c:v>
                </c:pt>
              </c:numCache>
            </c:numRef>
          </c:val>
          <c:extLst>
            <c:ext xmlns:c16="http://schemas.microsoft.com/office/drawing/2014/chart" uri="{C3380CC4-5D6E-409C-BE32-E72D297353CC}">
              <c16:uniqueId val="{000000AC-9283-2F4D-BFFE-1A16422520C5}"/>
            </c:ext>
          </c:extLst>
        </c:ser>
        <c:ser>
          <c:idx val="75"/>
          <c:order val="75"/>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([1]Cleaned_Data!$J$80,[1]Cleaned_Data!$L$80)</c:f>
              <c:numCache>
                <c:formatCode>General</c:formatCode>
                <c:ptCount val="2"/>
                <c:pt idx="0">
                  <c:v>3</c:v>
                </c:pt>
                <c:pt idx="1">
                  <c:v>5</c:v>
                </c:pt>
              </c:numCache>
            </c:numRef>
          </c:val>
          <c:extLst>
            <c:ext xmlns:c16="http://schemas.microsoft.com/office/drawing/2014/chart" uri="{C3380CC4-5D6E-409C-BE32-E72D297353CC}">
              <c16:uniqueId val="{000000AD-9283-2F4D-BFFE-1A16422520C5}"/>
            </c:ext>
          </c:extLst>
        </c:ser>
        <c:ser>
          <c:idx val="76"/>
          <c:order val="76"/>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([1]Cleaned_Data!$J$81,[1]Cleaned_Data!$L$81)</c:f>
              <c:numCache>
                <c:formatCode>General</c:formatCode>
                <c:ptCount val="2"/>
                <c:pt idx="0">
                  <c:v>4</c:v>
                </c:pt>
                <c:pt idx="1">
                  <c:v>5</c:v>
                </c:pt>
              </c:numCache>
            </c:numRef>
          </c:val>
          <c:extLst>
            <c:ext xmlns:c16="http://schemas.microsoft.com/office/drawing/2014/chart" uri="{C3380CC4-5D6E-409C-BE32-E72D297353CC}">
              <c16:uniqueId val="{000000AE-9283-2F4D-BFFE-1A16422520C5}"/>
            </c:ext>
          </c:extLst>
        </c:ser>
        <c:ser>
          <c:idx val="77"/>
          <c:order val="77"/>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([1]Cleaned_Data!$J$82,[1]Cleaned_Data!$L$82)</c:f>
              <c:numCache>
                <c:formatCode>General</c:formatCode>
                <c:ptCount val="2"/>
                <c:pt idx="0">
                  <c:v>4</c:v>
                </c:pt>
                <c:pt idx="1">
                  <c:v>3</c:v>
                </c:pt>
              </c:numCache>
            </c:numRef>
          </c:val>
          <c:extLst>
            <c:ext xmlns:c16="http://schemas.microsoft.com/office/drawing/2014/chart" uri="{C3380CC4-5D6E-409C-BE32-E72D297353CC}">
              <c16:uniqueId val="{000000AF-9283-2F4D-BFFE-1A16422520C5}"/>
            </c:ext>
          </c:extLst>
        </c:ser>
        <c:ser>
          <c:idx val="78"/>
          <c:order val="78"/>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([1]Cleaned_Data!$J$83,[1]Cleaned_Data!$L$83)</c:f>
              <c:numCache>
                <c:formatCode>General</c:formatCode>
                <c:ptCount val="2"/>
                <c:pt idx="0">
                  <c:v>3</c:v>
                </c:pt>
                <c:pt idx="1">
                  <c:v>5</c:v>
                </c:pt>
              </c:numCache>
            </c:numRef>
          </c:val>
          <c:extLst>
            <c:ext xmlns:c16="http://schemas.microsoft.com/office/drawing/2014/chart" uri="{C3380CC4-5D6E-409C-BE32-E72D297353CC}">
              <c16:uniqueId val="{000000B0-9283-2F4D-BFFE-1A16422520C5}"/>
            </c:ext>
          </c:extLst>
        </c:ser>
        <c:ser>
          <c:idx val="79"/>
          <c:order val="79"/>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([1]Cleaned_Data!$J$84,[1]Cleaned_Data!$L$84)</c:f>
              <c:numCache>
                <c:formatCode>General</c:formatCode>
                <c:ptCount val="2"/>
                <c:pt idx="0">
                  <c:v>3</c:v>
                </c:pt>
                <c:pt idx="1">
                  <c:v>4</c:v>
                </c:pt>
              </c:numCache>
            </c:numRef>
          </c:val>
          <c:extLst>
            <c:ext xmlns:c16="http://schemas.microsoft.com/office/drawing/2014/chart" uri="{C3380CC4-5D6E-409C-BE32-E72D297353CC}">
              <c16:uniqueId val="{000000B1-9283-2F4D-BFFE-1A16422520C5}"/>
            </c:ext>
          </c:extLst>
        </c:ser>
        <c:ser>
          <c:idx val="80"/>
          <c:order val="80"/>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([1]Cleaned_Data!$J$85,[1]Cleaned_Data!$L$85)</c:f>
              <c:numCache>
                <c:formatCode>General</c:formatCode>
                <c:ptCount val="2"/>
                <c:pt idx="0">
                  <c:v>2</c:v>
                </c:pt>
                <c:pt idx="1">
                  <c:v>5</c:v>
                </c:pt>
              </c:numCache>
            </c:numRef>
          </c:val>
          <c:extLst>
            <c:ext xmlns:c16="http://schemas.microsoft.com/office/drawing/2014/chart" uri="{C3380CC4-5D6E-409C-BE32-E72D297353CC}">
              <c16:uniqueId val="{000000B2-9283-2F4D-BFFE-1A16422520C5}"/>
            </c:ext>
          </c:extLst>
        </c:ser>
        <c:ser>
          <c:idx val="81"/>
          <c:order val="81"/>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([1]Cleaned_Data!$J$86,[1]Cleaned_Data!$L$86)</c:f>
              <c:numCache>
                <c:formatCode>General</c:formatCode>
                <c:ptCount val="2"/>
                <c:pt idx="0">
                  <c:v>2</c:v>
                </c:pt>
                <c:pt idx="1">
                  <c:v>4</c:v>
                </c:pt>
              </c:numCache>
            </c:numRef>
          </c:val>
          <c:extLst>
            <c:ext xmlns:c16="http://schemas.microsoft.com/office/drawing/2014/chart" uri="{C3380CC4-5D6E-409C-BE32-E72D297353CC}">
              <c16:uniqueId val="{000000B3-9283-2F4D-BFFE-1A16422520C5}"/>
            </c:ext>
          </c:extLst>
        </c:ser>
        <c:ser>
          <c:idx val="82"/>
          <c:order val="82"/>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([1]Cleaned_Data!$J$87,[1]Cleaned_Data!$L$87)</c:f>
              <c:numCache>
                <c:formatCode>General</c:formatCode>
                <c:ptCount val="2"/>
                <c:pt idx="0">
                  <c:v>2</c:v>
                </c:pt>
                <c:pt idx="1">
                  <c:v>5</c:v>
                </c:pt>
              </c:numCache>
            </c:numRef>
          </c:val>
          <c:extLst>
            <c:ext xmlns:c16="http://schemas.microsoft.com/office/drawing/2014/chart" uri="{C3380CC4-5D6E-409C-BE32-E72D297353CC}">
              <c16:uniqueId val="{000000B4-9283-2F4D-BFFE-1A16422520C5}"/>
            </c:ext>
          </c:extLst>
        </c:ser>
        <c:ser>
          <c:idx val="83"/>
          <c:order val="83"/>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([1]Cleaned_Data!$J$88,[1]Cleaned_Data!$L$88)</c:f>
              <c:numCache>
                <c:formatCode>General</c:formatCode>
                <c:ptCount val="2"/>
                <c:pt idx="0">
                  <c:v>3</c:v>
                </c:pt>
                <c:pt idx="1">
                  <c:v>5</c:v>
                </c:pt>
              </c:numCache>
            </c:numRef>
          </c:val>
          <c:extLst>
            <c:ext xmlns:c16="http://schemas.microsoft.com/office/drawing/2014/chart" uri="{C3380CC4-5D6E-409C-BE32-E72D297353CC}">
              <c16:uniqueId val="{000000B5-9283-2F4D-BFFE-1A16422520C5}"/>
            </c:ext>
          </c:extLst>
        </c:ser>
        <c:ser>
          <c:idx val="84"/>
          <c:order val="84"/>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([1]Cleaned_Data!$J$89,[1]Cleaned_Data!$L$89)</c:f>
              <c:numCache>
                <c:formatCode>General</c:formatCode>
                <c:ptCount val="2"/>
                <c:pt idx="0">
                  <c:v>4</c:v>
                </c:pt>
                <c:pt idx="1">
                  <c:v>5</c:v>
                </c:pt>
              </c:numCache>
            </c:numRef>
          </c:val>
          <c:extLst>
            <c:ext xmlns:c16="http://schemas.microsoft.com/office/drawing/2014/chart" uri="{C3380CC4-5D6E-409C-BE32-E72D297353CC}">
              <c16:uniqueId val="{000000B6-9283-2F4D-BFFE-1A16422520C5}"/>
            </c:ext>
          </c:extLst>
        </c:ser>
        <c:ser>
          <c:idx val="85"/>
          <c:order val="85"/>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([1]Cleaned_Data!$J$90,[1]Cleaned_Data!$L$90)</c:f>
              <c:numCache>
                <c:formatCode>General</c:formatCode>
                <c:ptCount val="2"/>
                <c:pt idx="0">
                  <c:v>5</c:v>
                </c:pt>
                <c:pt idx="1">
                  <c:v>5</c:v>
                </c:pt>
              </c:numCache>
            </c:numRef>
          </c:val>
          <c:extLst>
            <c:ext xmlns:c16="http://schemas.microsoft.com/office/drawing/2014/chart" uri="{C3380CC4-5D6E-409C-BE32-E72D297353CC}">
              <c16:uniqueId val="{000000B7-9283-2F4D-BFFE-1A16422520C5}"/>
            </c:ext>
          </c:extLst>
        </c:ser>
        <c:ser>
          <c:idx val="86"/>
          <c:order val="86"/>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([1]Cleaned_Data!$J$91,[1]Cleaned_Data!$L$91)</c:f>
              <c:numCache>
                <c:formatCode>General</c:formatCode>
                <c:ptCount val="2"/>
                <c:pt idx="0">
                  <c:v>3</c:v>
                </c:pt>
                <c:pt idx="1">
                  <c:v>5</c:v>
                </c:pt>
              </c:numCache>
            </c:numRef>
          </c:val>
          <c:extLst>
            <c:ext xmlns:c16="http://schemas.microsoft.com/office/drawing/2014/chart" uri="{C3380CC4-5D6E-409C-BE32-E72D297353CC}">
              <c16:uniqueId val="{000000B8-9283-2F4D-BFFE-1A16422520C5}"/>
            </c:ext>
          </c:extLst>
        </c:ser>
        <c:ser>
          <c:idx val="87"/>
          <c:order val="87"/>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([1]Cleaned_Data!$J$92,[1]Cleaned_Data!$L$92)</c:f>
              <c:numCache>
                <c:formatCode>General</c:formatCode>
                <c:ptCount val="2"/>
                <c:pt idx="0">
                  <c:v>2</c:v>
                </c:pt>
                <c:pt idx="1">
                  <c:v>4</c:v>
                </c:pt>
              </c:numCache>
            </c:numRef>
          </c:val>
          <c:extLst>
            <c:ext xmlns:c16="http://schemas.microsoft.com/office/drawing/2014/chart" uri="{C3380CC4-5D6E-409C-BE32-E72D297353CC}">
              <c16:uniqueId val="{000000B9-9283-2F4D-BFFE-1A16422520C5}"/>
            </c:ext>
          </c:extLst>
        </c:ser>
        <c:ser>
          <c:idx val="88"/>
          <c:order val="88"/>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([1]Cleaned_Data!$J$93,[1]Cleaned_Data!$L$93)</c:f>
              <c:numCache>
                <c:formatCode>General</c:formatCode>
                <c:ptCount val="2"/>
                <c:pt idx="0">
                  <c:v>1</c:v>
                </c:pt>
                <c:pt idx="1">
                  <c:v>4</c:v>
                </c:pt>
              </c:numCache>
            </c:numRef>
          </c:val>
          <c:extLst>
            <c:ext xmlns:c16="http://schemas.microsoft.com/office/drawing/2014/chart" uri="{C3380CC4-5D6E-409C-BE32-E72D297353CC}">
              <c16:uniqueId val="{000000BA-9283-2F4D-BFFE-1A16422520C5}"/>
            </c:ext>
          </c:extLst>
        </c:ser>
        <c:ser>
          <c:idx val="89"/>
          <c:order val="89"/>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([1]Cleaned_Data!$J$94,[1]Cleaned_Data!$L$94)</c:f>
              <c:numCache>
                <c:formatCode>General</c:formatCode>
                <c:ptCount val="2"/>
                <c:pt idx="0">
                  <c:v>3</c:v>
                </c:pt>
                <c:pt idx="1">
                  <c:v>5</c:v>
                </c:pt>
              </c:numCache>
            </c:numRef>
          </c:val>
          <c:extLst>
            <c:ext xmlns:c16="http://schemas.microsoft.com/office/drawing/2014/chart" uri="{C3380CC4-5D6E-409C-BE32-E72D297353CC}">
              <c16:uniqueId val="{000000BB-9283-2F4D-BFFE-1A16422520C5}"/>
            </c:ext>
          </c:extLst>
        </c:ser>
        <c:ser>
          <c:idx val="90"/>
          <c:order val="90"/>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([1]Cleaned_Data!$J$95,[1]Cleaned_Data!$L$95)</c:f>
              <c:numCache>
                <c:formatCode>General</c:formatCode>
                <c:ptCount val="2"/>
                <c:pt idx="0">
                  <c:v>4</c:v>
                </c:pt>
                <c:pt idx="1">
                  <c:v>4</c:v>
                </c:pt>
              </c:numCache>
            </c:numRef>
          </c:val>
          <c:extLst>
            <c:ext xmlns:c16="http://schemas.microsoft.com/office/drawing/2014/chart" uri="{C3380CC4-5D6E-409C-BE32-E72D297353CC}">
              <c16:uniqueId val="{000000BC-9283-2F4D-BFFE-1A16422520C5}"/>
            </c:ext>
          </c:extLst>
        </c:ser>
        <c:ser>
          <c:idx val="91"/>
          <c:order val="91"/>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([1]Cleaned_Data!$J$96,[1]Cleaned_Data!$L$96)</c:f>
              <c:numCache>
                <c:formatCode>General</c:formatCode>
                <c:ptCount val="2"/>
                <c:pt idx="0">
                  <c:v>4</c:v>
                </c:pt>
                <c:pt idx="1">
                  <c:v>5</c:v>
                </c:pt>
              </c:numCache>
            </c:numRef>
          </c:val>
          <c:extLst>
            <c:ext xmlns:c16="http://schemas.microsoft.com/office/drawing/2014/chart" uri="{C3380CC4-5D6E-409C-BE32-E72D297353CC}">
              <c16:uniqueId val="{000000BD-9283-2F4D-BFFE-1A16422520C5}"/>
            </c:ext>
          </c:extLst>
        </c:ser>
        <c:ser>
          <c:idx val="92"/>
          <c:order val="92"/>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([1]Cleaned_Data!$J$97,[1]Cleaned_Data!$L$97)</c:f>
              <c:numCache>
                <c:formatCode>General</c:formatCode>
                <c:ptCount val="2"/>
                <c:pt idx="0">
                  <c:v>2</c:v>
                </c:pt>
                <c:pt idx="1">
                  <c:v>5</c:v>
                </c:pt>
              </c:numCache>
            </c:numRef>
          </c:val>
          <c:extLst>
            <c:ext xmlns:c16="http://schemas.microsoft.com/office/drawing/2014/chart" uri="{C3380CC4-5D6E-409C-BE32-E72D297353CC}">
              <c16:uniqueId val="{000000BE-9283-2F4D-BFFE-1A16422520C5}"/>
            </c:ext>
          </c:extLst>
        </c:ser>
        <c:ser>
          <c:idx val="93"/>
          <c:order val="93"/>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([1]Cleaned_Data!$J$98,[1]Cleaned_Data!$L$98)</c:f>
              <c:numCache>
                <c:formatCode>General</c:formatCode>
                <c:ptCount val="2"/>
                <c:pt idx="0">
                  <c:v>2</c:v>
                </c:pt>
                <c:pt idx="1">
                  <c:v>5</c:v>
                </c:pt>
              </c:numCache>
            </c:numRef>
          </c:val>
          <c:extLst>
            <c:ext xmlns:c16="http://schemas.microsoft.com/office/drawing/2014/chart" uri="{C3380CC4-5D6E-409C-BE32-E72D297353CC}">
              <c16:uniqueId val="{000000BF-9283-2F4D-BFFE-1A16422520C5}"/>
            </c:ext>
          </c:extLst>
        </c:ser>
        <c:ser>
          <c:idx val="94"/>
          <c:order val="94"/>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([1]Cleaned_Data!$J$99,[1]Cleaned_Data!$L$99)</c:f>
              <c:numCache>
                <c:formatCode>General</c:formatCode>
                <c:ptCount val="2"/>
                <c:pt idx="0">
                  <c:v>3</c:v>
                </c:pt>
                <c:pt idx="1">
                  <c:v>5</c:v>
                </c:pt>
              </c:numCache>
            </c:numRef>
          </c:val>
          <c:extLst>
            <c:ext xmlns:c16="http://schemas.microsoft.com/office/drawing/2014/chart" uri="{C3380CC4-5D6E-409C-BE32-E72D297353CC}">
              <c16:uniqueId val="{000000C0-9283-2F4D-BFFE-1A16422520C5}"/>
            </c:ext>
          </c:extLst>
        </c:ser>
        <c:ser>
          <c:idx val="95"/>
          <c:order val="95"/>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([1]Cleaned_Data!$J$100,[1]Cleaned_Data!$L$100)</c:f>
              <c:numCache>
                <c:formatCode>General</c:formatCode>
                <c:ptCount val="2"/>
                <c:pt idx="0">
                  <c:v>1</c:v>
                </c:pt>
                <c:pt idx="1">
                  <c:v>3</c:v>
                </c:pt>
              </c:numCache>
            </c:numRef>
          </c:val>
          <c:extLst>
            <c:ext xmlns:c16="http://schemas.microsoft.com/office/drawing/2014/chart" uri="{C3380CC4-5D6E-409C-BE32-E72D297353CC}">
              <c16:uniqueId val="{000000C1-9283-2F4D-BFFE-1A16422520C5}"/>
            </c:ext>
          </c:extLst>
        </c:ser>
        <c:ser>
          <c:idx val="96"/>
          <c:order val="96"/>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([1]Cleaned_Data!$J$101,[1]Cleaned_Data!$L$101)</c:f>
              <c:numCache>
                <c:formatCode>General</c:formatCode>
                <c:ptCount val="2"/>
                <c:pt idx="0">
                  <c:v>4</c:v>
                </c:pt>
                <c:pt idx="1">
                  <c:v>5</c:v>
                </c:pt>
              </c:numCache>
            </c:numRef>
          </c:val>
          <c:extLst>
            <c:ext xmlns:c16="http://schemas.microsoft.com/office/drawing/2014/chart" uri="{C3380CC4-5D6E-409C-BE32-E72D297353CC}">
              <c16:uniqueId val="{000000C2-9283-2F4D-BFFE-1A16422520C5}"/>
            </c:ext>
          </c:extLst>
        </c:ser>
        <c:ser>
          <c:idx val="97"/>
          <c:order val="97"/>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([1]Cleaned_Data!$J$102,[1]Cleaned_Data!$L$102)</c:f>
              <c:numCache>
                <c:formatCode>General</c:formatCode>
                <c:ptCount val="2"/>
                <c:pt idx="0">
                  <c:v>3</c:v>
                </c:pt>
                <c:pt idx="1">
                  <c:v>5</c:v>
                </c:pt>
              </c:numCache>
            </c:numRef>
          </c:val>
          <c:extLst>
            <c:ext xmlns:c16="http://schemas.microsoft.com/office/drawing/2014/chart" uri="{C3380CC4-5D6E-409C-BE32-E72D297353CC}">
              <c16:uniqueId val="{000000C3-9283-2F4D-BFFE-1A16422520C5}"/>
            </c:ext>
          </c:extLst>
        </c:ser>
        <c:ser>
          <c:idx val="98"/>
          <c:order val="98"/>
          <c:spPr>
            <a:ln>
              <a:prstDash val="solid"/>
            </a:ln>
          </c:spPr>
          <c:invertIfNegative val="0"/>
          <c:cat>
            <c:numRef>
              <c:f>'Cleaned data'!$L$4:$L$103</c:f>
              <c:numCache>
                <c:formatCode>#,##0</c:formatCode>
                <c:ptCount val="100"/>
                <c:pt idx="0">
                  <c:v>4</c:v>
                </c:pt>
                <c:pt idx="1">
                  <c:v>5</c:v>
                </c:pt>
                <c:pt idx="2">
                  <c:v>4</c:v>
                </c:pt>
                <c:pt idx="3">
                  <c:v>5</c:v>
                </c:pt>
                <c:pt idx="4">
                  <c:v>5</c:v>
                </c:pt>
                <c:pt idx="5">
                  <c:v>5</c:v>
                </c:pt>
                <c:pt idx="6">
                  <c:v>5</c:v>
                </c:pt>
                <c:pt idx="7">
                  <c:v>4</c:v>
                </c:pt>
                <c:pt idx="8">
                  <c:v>5</c:v>
                </c:pt>
                <c:pt idx="9">
                  <c:v>5</c:v>
                </c:pt>
                <c:pt idx="10">
                  <c:v>5</c:v>
                </c:pt>
                <c:pt idx="11">
                  <c:v>5</c:v>
                </c:pt>
                <c:pt idx="12">
                  <c:v>4</c:v>
                </c:pt>
                <c:pt idx="13">
                  <c:v>5</c:v>
                </c:pt>
                <c:pt idx="14">
                  <c:v>5</c:v>
                </c:pt>
                <c:pt idx="15">
                  <c:v>5</c:v>
                </c:pt>
                <c:pt idx="16">
                  <c:v>5</c:v>
                </c:pt>
                <c:pt idx="17">
                  <c:v>4</c:v>
                </c:pt>
                <c:pt idx="18">
                  <c:v>5</c:v>
                </c:pt>
                <c:pt idx="19">
                  <c:v>4</c:v>
                </c:pt>
                <c:pt idx="20">
                  <c:v>4</c:v>
                </c:pt>
                <c:pt idx="21">
                  <c:v>5</c:v>
                </c:pt>
                <c:pt idx="22">
                  <c:v>5</c:v>
                </c:pt>
                <c:pt idx="23">
                  <c:v>4</c:v>
                </c:pt>
                <c:pt idx="24">
                  <c:v>4</c:v>
                </c:pt>
                <c:pt idx="25">
                  <c:v>4</c:v>
                </c:pt>
                <c:pt idx="26">
                  <c:v>3</c:v>
                </c:pt>
                <c:pt idx="27">
                  <c:v>5</c:v>
                </c:pt>
                <c:pt idx="28">
                  <c:v>5</c:v>
                </c:pt>
                <c:pt idx="29">
                  <c:v>4</c:v>
                </c:pt>
                <c:pt idx="30">
                  <c:v>5</c:v>
                </c:pt>
                <c:pt idx="31">
                  <c:v>4</c:v>
                </c:pt>
                <c:pt idx="32">
                  <c:v>5</c:v>
                </c:pt>
                <c:pt idx="33">
                  <c:v>5</c:v>
                </c:pt>
                <c:pt idx="34">
                  <c:v>5</c:v>
                </c:pt>
                <c:pt idx="35">
                  <c:v>4</c:v>
                </c:pt>
                <c:pt idx="36">
                  <c:v>5</c:v>
                </c:pt>
                <c:pt idx="37">
                  <c:v>5</c:v>
                </c:pt>
                <c:pt idx="38">
                  <c:v>3</c:v>
                </c:pt>
                <c:pt idx="39">
                  <c:v>4</c:v>
                </c:pt>
                <c:pt idx="40">
                  <c:v>4</c:v>
                </c:pt>
                <c:pt idx="41">
                  <c:v>5</c:v>
                </c:pt>
                <c:pt idx="42">
                  <c:v>5</c:v>
                </c:pt>
                <c:pt idx="43">
                  <c:v>5</c:v>
                </c:pt>
                <c:pt idx="44">
                  <c:v>4</c:v>
                </c:pt>
                <c:pt idx="45">
                  <c:v>5</c:v>
                </c:pt>
                <c:pt idx="46">
                  <c:v>4</c:v>
                </c:pt>
                <c:pt idx="47">
                  <c:v>4</c:v>
                </c:pt>
                <c:pt idx="48">
                  <c:v>4</c:v>
                </c:pt>
                <c:pt idx="49">
                  <c:v>5</c:v>
                </c:pt>
                <c:pt idx="50">
                  <c:v>4</c:v>
                </c:pt>
                <c:pt idx="51">
                  <c:v>5</c:v>
                </c:pt>
                <c:pt idx="52">
                  <c:v>4</c:v>
                </c:pt>
                <c:pt idx="53">
                  <c:v>5</c:v>
                </c:pt>
                <c:pt idx="54">
                  <c:v>4</c:v>
                </c:pt>
                <c:pt idx="55">
                  <c:v>5</c:v>
                </c:pt>
                <c:pt idx="56">
                  <c:v>4</c:v>
                </c:pt>
                <c:pt idx="57">
                  <c:v>4</c:v>
                </c:pt>
                <c:pt idx="58">
                  <c:v>5</c:v>
                </c:pt>
                <c:pt idx="59">
                  <c:v>5</c:v>
                </c:pt>
                <c:pt idx="60">
                  <c:v>5</c:v>
                </c:pt>
                <c:pt idx="61">
                  <c:v>3</c:v>
                </c:pt>
                <c:pt idx="62">
                  <c:v>4</c:v>
                </c:pt>
                <c:pt idx="63">
                  <c:v>5</c:v>
                </c:pt>
                <c:pt idx="64">
                  <c:v>5</c:v>
                </c:pt>
                <c:pt idx="65">
                  <c:v>5</c:v>
                </c:pt>
                <c:pt idx="66">
                  <c:v>5</c:v>
                </c:pt>
                <c:pt idx="67">
                  <c:v>4</c:v>
                </c:pt>
                <c:pt idx="68">
                  <c:v>4</c:v>
                </c:pt>
                <c:pt idx="69">
                  <c:v>5</c:v>
                </c:pt>
                <c:pt idx="70">
                  <c:v>3</c:v>
                </c:pt>
                <c:pt idx="71">
                  <c:v>5</c:v>
                </c:pt>
                <c:pt idx="72">
                  <c:v>4</c:v>
                </c:pt>
                <c:pt idx="73">
                  <c:v>5</c:v>
                </c:pt>
                <c:pt idx="74">
                  <c:v>5</c:v>
                </c:pt>
                <c:pt idx="75">
                  <c:v>4</c:v>
                </c:pt>
                <c:pt idx="76">
                  <c:v>5</c:v>
                </c:pt>
                <c:pt idx="77">
                  <c:v>5</c:v>
                </c:pt>
                <c:pt idx="78">
                  <c:v>3</c:v>
                </c:pt>
                <c:pt idx="79">
                  <c:v>5</c:v>
                </c:pt>
                <c:pt idx="80">
                  <c:v>4</c:v>
                </c:pt>
                <c:pt idx="81">
                  <c:v>5</c:v>
                </c:pt>
                <c:pt idx="82">
                  <c:v>4</c:v>
                </c:pt>
                <c:pt idx="83">
                  <c:v>5</c:v>
                </c:pt>
                <c:pt idx="84">
                  <c:v>5</c:v>
                </c:pt>
                <c:pt idx="85">
                  <c:v>5</c:v>
                </c:pt>
                <c:pt idx="86">
                  <c:v>5</c:v>
                </c:pt>
                <c:pt idx="87">
                  <c:v>5</c:v>
                </c:pt>
                <c:pt idx="88">
                  <c:v>4</c:v>
                </c:pt>
                <c:pt idx="89">
                  <c:v>4</c:v>
                </c:pt>
                <c:pt idx="90">
                  <c:v>5</c:v>
                </c:pt>
                <c:pt idx="91">
                  <c:v>4</c:v>
                </c:pt>
                <c:pt idx="92">
                  <c:v>5</c:v>
                </c:pt>
                <c:pt idx="93">
                  <c:v>5</c:v>
                </c:pt>
                <c:pt idx="94">
                  <c:v>5</c:v>
                </c:pt>
                <c:pt idx="95">
                  <c:v>5</c:v>
                </c:pt>
                <c:pt idx="96">
                  <c:v>3</c:v>
                </c:pt>
                <c:pt idx="97">
                  <c:v>5</c:v>
                </c:pt>
                <c:pt idx="98">
                  <c:v>5</c:v>
                </c:pt>
                <c:pt idx="99">
                  <c:v>4</c:v>
                </c:pt>
              </c:numCache>
            </c:numRef>
          </c:cat>
          <c:val>
            <c:numRef>
              <c:f>([1]Cleaned_Data!$J$103,[1]Cleaned_Data!$L$103)</c:f>
              <c:numCache>
                <c:formatCode>General</c:formatCode>
                <c:ptCount val="2"/>
                <c:pt idx="0">
                  <c:v>1</c:v>
                </c:pt>
                <c:pt idx="1">
                  <c:v>4</c:v>
                </c:pt>
              </c:numCache>
            </c:numRef>
          </c:val>
          <c:extLst>
            <c:ext xmlns:c16="http://schemas.microsoft.com/office/drawing/2014/chart" uri="{C3380CC4-5D6E-409C-BE32-E72D297353CC}">
              <c16:uniqueId val="{000000C4-9283-2F4D-BFFE-1A16422520C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0"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 sourceLinked="0"/>
        <c:majorTickMark val="none"/>
        <c:minorTickMark val="none"/>
        <c:tickLblPos val="nextTo"/>
        <c:crossAx val="48650112"/>
        <c:crosses val="autoZero"/>
        <c:crossBetween val="between"/>
      </c:valAx>
    </c:plotArea>
    <c:legend>
      <c:legendPos val="r"/>
      <c:layout>
        <c:manualLayout>
          <c:xMode val="edge"/>
          <c:yMode val="edge"/>
          <c:x val="0.96273277132830082"/>
          <c:y val="0.11698843606892234"/>
          <c:w val="3.0210080945249407E-2"/>
          <c:h val="0.77476940382452197"/>
        </c:manualLayout>
      </c:layout>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IN"/>
              <a:t>Monthly Income vs Willingness to Pay</a:t>
            </a:r>
          </a:p>
        </c:rich>
      </c:tx>
      <c:overlay val="0"/>
    </c:title>
    <c:autoTitleDeleted val="0"/>
    <c:plotArea>
      <c:layout>
        <c:manualLayout>
          <c:layoutTarget val="inner"/>
          <c:xMode val="edge"/>
          <c:yMode val="edge"/>
          <c:x val="1.6277591325674454E-2"/>
          <c:y val="0.1990909090909091"/>
          <c:w val="0.96861159158383892"/>
          <c:h val="0.602828561202577"/>
        </c:manualLayout>
      </c:layout>
      <c:barChart>
        <c:barDir val="col"/>
        <c:grouping val="stacked"/>
        <c:varyColors val="1"/>
        <c:ser>
          <c:idx val="0"/>
          <c:order val="0"/>
          <c:tx>
            <c:v>Customers</c:v>
          </c:tx>
          <c:invertIfNegative val="0"/>
          <c:cat>
            <c:numRef>
              <c:f>'Cleaned data'!$I$4:$I$103</c:f>
              <c:numCache>
                <c:formatCode>#,##0</c:formatCode>
                <c:ptCount val="100"/>
                <c:pt idx="0">
                  <c:v>5000</c:v>
                </c:pt>
                <c:pt idx="1">
                  <c:v>4800</c:v>
                </c:pt>
                <c:pt idx="2">
                  <c:v>4700</c:v>
                </c:pt>
                <c:pt idx="3">
                  <c:v>7500</c:v>
                </c:pt>
                <c:pt idx="4">
                  <c:v>6000</c:v>
                </c:pt>
                <c:pt idx="5">
                  <c:v>7100</c:v>
                </c:pt>
                <c:pt idx="6">
                  <c:v>5200</c:v>
                </c:pt>
                <c:pt idx="7">
                  <c:v>7900</c:v>
                </c:pt>
                <c:pt idx="8">
                  <c:v>5900</c:v>
                </c:pt>
                <c:pt idx="9">
                  <c:v>5200</c:v>
                </c:pt>
                <c:pt idx="10">
                  <c:v>5600</c:v>
                </c:pt>
                <c:pt idx="11">
                  <c:v>6300</c:v>
                </c:pt>
                <c:pt idx="12">
                  <c:v>7300</c:v>
                </c:pt>
                <c:pt idx="13">
                  <c:v>7700</c:v>
                </c:pt>
                <c:pt idx="14">
                  <c:v>3700</c:v>
                </c:pt>
                <c:pt idx="15">
                  <c:v>7000</c:v>
                </c:pt>
                <c:pt idx="16">
                  <c:v>6800</c:v>
                </c:pt>
                <c:pt idx="17">
                  <c:v>3500</c:v>
                </c:pt>
                <c:pt idx="18">
                  <c:v>5200</c:v>
                </c:pt>
                <c:pt idx="19">
                  <c:v>7800</c:v>
                </c:pt>
                <c:pt idx="20">
                  <c:v>6300</c:v>
                </c:pt>
                <c:pt idx="21">
                  <c:v>7200</c:v>
                </c:pt>
                <c:pt idx="22">
                  <c:v>7500</c:v>
                </c:pt>
                <c:pt idx="23">
                  <c:v>5400</c:v>
                </c:pt>
                <c:pt idx="24">
                  <c:v>6000</c:v>
                </c:pt>
                <c:pt idx="25">
                  <c:v>5900</c:v>
                </c:pt>
                <c:pt idx="26">
                  <c:v>4400</c:v>
                </c:pt>
                <c:pt idx="27">
                  <c:v>5700</c:v>
                </c:pt>
                <c:pt idx="28">
                  <c:v>6600</c:v>
                </c:pt>
                <c:pt idx="29">
                  <c:v>6700</c:v>
                </c:pt>
                <c:pt idx="30">
                  <c:v>6800</c:v>
                </c:pt>
                <c:pt idx="31">
                  <c:v>5900</c:v>
                </c:pt>
                <c:pt idx="32">
                  <c:v>4500</c:v>
                </c:pt>
                <c:pt idx="33">
                  <c:v>5800</c:v>
                </c:pt>
                <c:pt idx="34">
                  <c:v>6300</c:v>
                </c:pt>
                <c:pt idx="35">
                  <c:v>5400</c:v>
                </c:pt>
                <c:pt idx="36">
                  <c:v>7500</c:v>
                </c:pt>
                <c:pt idx="37">
                  <c:v>6600</c:v>
                </c:pt>
                <c:pt idx="38">
                  <c:v>4900</c:v>
                </c:pt>
                <c:pt idx="39">
                  <c:v>5300</c:v>
                </c:pt>
                <c:pt idx="40">
                  <c:v>6600</c:v>
                </c:pt>
                <c:pt idx="41">
                  <c:v>8000</c:v>
                </c:pt>
                <c:pt idx="42">
                  <c:v>5100</c:v>
                </c:pt>
                <c:pt idx="43">
                  <c:v>4600</c:v>
                </c:pt>
                <c:pt idx="44">
                  <c:v>6700</c:v>
                </c:pt>
                <c:pt idx="45">
                  <c:v>5900</c:v>
                </c:pt>
                <c:pt idx="46">
                  <c:v>6500</c:v>
                </c:pt>
                <c:pt idx="47">
                  <c:v>8400</c:v>
                </c:pt>
                <c:pt idx="48">
                  <c:v>4700</c:v>
                </c:pt>
                <c:pt idx="49">
                  <c:v>6500</c:v>
                </c:pt>
                <c:pt idx="50">
                  <c:v>5500</c:v>
                </c:pt>
                <c:pt idx="51">
                  <c:v>6300</c:v>
                </c:pt>
                <c:pt idx="52">
                  <c:v>6600</c:v>
                </c:pt>
                <c:pt idx="53">
                  <c:v>7900</c:v>
                </c:pt>
                <c:pt idx="54">
                  <c:v>6100</c:v>
                </c:pt>
                <c:pt idx="55">
                  <c:v>5900</c:v>
                </c:pt>
                <c:pt idx="56">
                  <c:v>5800</c:v>
                </c:pt>
                <c:pt idx="57">
                  <c:v>7200</c:v>
                </c:pt>
                <c:pt idx="58">
                  <c:v>6000</c:v>
                </c:pt>
                <c:pt idx="59">
                  <c:v>6900</c:v>
                </c:pt>
                <c:pt idx="60">
                  <c:v>5100</c:v>
                </c:pt>
                <c:pt idx="61">
                  <c:v>3700</c:v>
                </c:pt>
                <c:pt idx="62">
                  <c:v>6700</c:v>
                </c:pt>
                <c:pt idx="63">
                  <c:v>7300</c:v>
                </c:pt>
                <c:pt idx="64">
                  <c:v>6400</c:v>
                </c:pt>
                <c:pt idx="65">
                  <c:v>6100</c:v>
                </c:pt>
                <c:pt idx="66">
                  <c:v>5200</c:v>
                </c:pt>
                <c:pt idx="67">
                  <c:v>3800</c:v>
                </c:pt>
                <c:pt idx="68">
                  <c:v>3200</c:v>
                </c:pt>
                <c:pt idx="69">
                  <c:v>6200</c:v>
                </c:pt>
                <c:pt idx="70">
                  <c:v>5500</c:v>
                </c:pt>
                <c:pt idx="71">
                  <c:v>6300</c:v>
                </c:pt>
                <c:pt idx="72">
                  <c:v>6600</c:v>
                </c:pt>
                <c:pt idx="73">
                  <c:v>7400</c:v>
                </c:pt>
                <c:pt idx="74">
                  <c:v>6000</c:v>
                </c:pt>
                <c:pt idx="75">
                  <c:v>6500</c:v>
                </c:pt>
                <c:pt idx="76">
                  <c:v>7500</c:v>
                </c:pt>
                <c:pt idx="77">
                  <c:v>6000</c:v>
                </c:pt>
                <c:pt idx="78">
                  <c:v>4800</c:v>
                </c:pt>
                <c:pt idx="79">
                  <c:v>6000</c:v>
                </c:pt>
                <c:pt idx="80">
                  <c:v>5800</c:v>
                </c:pt>
                <c:pt idx="81">
                  <c:v>7800</c:v>
                </c:pt>
                <c:pt idx="82">
                  <c:v>6600</c:v>
                </c:pt>
                <c:pt idx="83">
                  <c:v>8300</c:v>
                </c:pt>
                <c:pt idx="84">
                  <c:v>6800</c:v>
                </c:pt>
                <c:pt idx="85">
                  <c:v>6400</c:v>
                </c:pt>
                <c:pt idx="86">
                  <c:v>4100</c:v>
                </c:pt>
                <c:pt idx="87">
                  <c:v>6400</c:v>
                </c:pt>
                <c:pt idx="88">
                  <c:v>6600</c:v>
                </c:pt>
                <c:pt idx="89">
                  <c:v>7100</c:v>
                </c:pt>
                <c:pt idx="90">
                  <c:v>6700</c:v>
                </c:pt>
                <c:pt idx="91">
                  <c:v>5500</c:v>
                </c:pt>
                <c:pt idx="92">
                  <c:v>5300</c:v>
                </c:pt>
                <c:pt idx="93">
                  <c:v>6500</c:v>
                </c:pt>
                <c:pt idx="94">
                  <c:v>7300</c:v>
                </c:pt>
                <c:pt idx="95">
                  <c:v>7800</c:v>
                </c:pt>
                <c:pt idx="96">
                  <c:v>5600</c:v>
                </c:pt>
                <c:pt idx="97">
                  <c:v>6400</c:v>
                </c:pt>
                <c:pt idx="98">
                  <c:v>6100</c:v>
                </c:pt>
                <c:pt idx="99">
                  <c:v>8100</c:v>
                </c:pt>
              </c:numCache>
            </c:numRef>
          </c:cat>
          <c:val>
            <c:numRef>
              <c:f>'Cleaned data'!$E$4:$E$103</c:f>
              <c:numCache>
                <c:formatCode>#,##0</c:formatCode>
                <c:ptCount val="100"/>
                <c:pt idx="0">
                  <c:v>91000</c:v>
                </c:pt>
                <c:pt idx="1">
                  <c:v>54000</c:v>
                </c:pt>
                <c:pt idx="2">
                  <c:v>62000</c:v>
                </c:pt>
                <c:pt idx="3">
                  <c:v>100000</c:v>
                </c:pt>
                <c:pt idx="4">
                  <c:v>91000</c:v>
                </c:pt>
                <c:pt idx="5">
                  <c:v>83000</c:v>
                </c:pt>
                <c:pt idx="6">
                  <c:v>75000</c:v>
                </c:pt>
                <c:pt idx="7">
                  <c:v>117000</c:v>
                </c:pt>
                <c:pt idx="8">
                  <c:v>88000</c:v>
                </c:pt>
                <c:pt idx="9">
                  <c:v>73000</c:v>
                </c:pt>
                <c:pt idx="10">
                  <c:v>93000</c:v>
                </c:pt>
                <c:pt idx="11">
                  <c:v>89000</c:v>
                </c:pt>
                <c:pt idx="12">
                  <c:v>110000</c:v>
                </c:pt>
                <c:pt idx="13">
                  <c:v>109000</c:v>
                </c:pt>
                <c:pt idx="14">
                  <c:v>62000</c:v>
                </c:pt>
                <c:pt idx="15">
                  <c:v>100000</c:v>
                </c:pt>
                <c:pt idx="16">
                  <c:v>105000</c:v>
                </c:pt>
                <c:pt idx="17">
                  <c:v>57000</c:v>
                </c:pt>
                <c:pt idx="18">
                  <c:v>72000</c:v>
                </c:pt>
                <c:pt idx="19">
                  <c:v>93000</c:v>
                </c:pt>
                <c:pt idx="20">
                  <c:v>65000</c:v>
                </c:pt>
                <c:pt idx="21">
                  <c:v>102000</c:v>
                </c:pt>
                <c:pt idx="22">
                  <c:v>76000</c:v>
                </c:pt>
                <c:pt idx="23">
                  <c:v>89000</c:v>
                </c:pt>
                <c:pt idx="24">
                  <c:v>97000</c:v>
                </c:pt>
                <c:pt idx="25">
                  <c:v>71000</c:v>
                </c:pt>
                <c:pt idx="26">
                  <c:v>68000</c:v>
                </c:pt>
                <c:pt idx="27">
                  <c:v>71000</c:v>
                </c:pt>
                <c:pt idx="28">
                  <c:v>120000</c:v>
                </c:pt>
                <c:pt idx="29">
                  <c:v>112000</c:v>
                </c:pt>
                <c:pt idx="30">
                  <c:v>125000</c:v>
                </c:pt>
                <c:pt idx="31">
                  <c:v>84000</c:v>
                </c:pt>
                <c:pt idx="32">
                  <c:v>68000</c:v>
                </c:pt>
                <c:pt idx="33">
                  <c:v>80000</c:v>
                </c:pt>
                <c:pt idx="34">
                  <c:v>72000</c:v>
                </c:pt>
                <c:pt idx="35">
                  <c:v>69000</c:v>
                </c:pt>
                <c:pt idx="36">
                  <c:v>90000</c:v>
                </c:pt>
                <c:pt idx="37">
                  <c:v>75000</c:v>
                </c:pt>
                <c:pt idx="38">
                  <c:v>81000</c:v>
                </c:pt>
                <c:pt idx="39">
                  <c:v>70000</c:v>
                </c:pt>
                <c:pt idx="40">
                  <c:v>102000</c:v>
                </c:pt>
                <c:pt idx="41">
                  <c:v>111000</c:v>
                </c:pt>
                <c:pt idx="42">
                  <c:v>98000</c:v>
                </c:pt>
                <c:pt idx="43">
                  <c:v>63000</c:v>
                </c:pt>
                <c:pt idx="44">
                  <c:v>93000</c:v>
                </c:pt>
                <c:pt idx="45">
                  <c:v>96000</c:v>
                </c:pt>
                <c:pt idx="46">
                  <c:v>89000</c:v>
                </c:pt>
                <c:pt idx="47">
                  <c:v>118000</c:v>
                </c:pt>
                <c:pt idx="48">
                  <c:v>72000</c:v>
                </c:pt>
                <c:pt idx="49">
                  <c:v>87000</c:v>
                </c:pt>
                <c:pt idx="50">
                  <c:v>98000</c:v>
                </c:pt>
                <c:pt idx="51">
                  <c:v>96000</c:v>
                </c:pt>
                <c:pt idx="52">
                  <c:v>102000</c:v>
                </c:pt>
                <c:pt idx="53">
                  <c:v>93000</c:v>
                </c:pt>
                <c:pt idx="54">
                  <c:v>90000</c:v>
                </c:pt>
                <c:pt idx="55">
                  <c:v>84000</c:v>
                </c:pt>
                <c:pt idx="56">
                  <c:v>58000</c:v>
                </c:pt>
                <c:pt idx="57">
                  <c:v>113000</c:v>
                </c:pt>
                <c:pt idx="58">
                  <c:v>93000</c:v>
                </c:pt>
                <c:pt idx="59">
                  <c:v>94000</c:v>
                </c:pt>
                <c:pt idx="60">
                  <c:v>76000</c:v>
                </c:pt>
                <c:pt idx="61">
                  <c:v>68000</c:v>
                </c:pt>
                <c:pt idx="62">
                  <c:v>99000</c:v>
                </c:pt>
                <c:pt idx="63">
                  <c:v>101000</c:v>
                </c:pt>
                <c:pt idx="64">
                  <c:v>86000</c:v>
                </c:pt>
                <c:pt idx="65">
                  <c:v>101000</c:v>
                </c:pt>
                <c:pt idx="66">
                  <c:v>50000</c:v>
                </c:pt>
                <c:pt idx="67">
                  <c:v>64000</c:v>
                </c:pt>
                <c:pt idx="68">
                  <c:v>56000</c:v>
                </c:pt>
                <c:pt idx="69">
                  <c:v>105000</c:v>
                </c:pt>
                <c:pt idx="70">
                  <c:v>109000</c:v>
                </c:pt>
                <c:pt idx="71">
                  <c:v>76000</c:v>
                </c:pt>
                <c:pt idx="72">
                  <c:v>121000</c:v>
                </c:pt>
                <c:pt idx="73">
                  <c:v>85000</c:v>
                </c:pt>
                <c:pt idx="74">
                  <c:v>99000</c:v>
                </c:pt>
                <c:pt idx="75">
                  <c:v>97000</c:v>
                </c:pt>
                <c:pt idx="76">
                  <c:v>106000</c:v>
                </c:pt>
                <c:pt idx="77">
                  <c:v>79000</c:v>
                </c:pt>
                <c:pt idx="78">
                  <c:v>74000</c:v>
                </c:pt>
                <c:pt idx="79">
                  <c:v>97000</c:v>
                </c:pt>
                <c:pt idx="80">
                  <c:v>93000</c:v>
                </c:pt>
                <c:pt idx="81">
                  <c:v>100000</c:v>
                </c:pt>
                <c:pt idx="82">
                  <c:v>95000</c:v>
                </c:pt>
                <c:pt idx="83">
                  <c:v>121000</c:v>
                </c:pt>
                <c:pt idx="84">
                  <c:v>94000</c:v>
                </c:pt>
                <c:pt idx="85">
                  <c:v>73000</c:v>
                </c:pt>
                <c:pt idx="86">
                  <c:v>59000</c:v>
                </c:pt>
                <c:pt idx="87">
                  <c:v>72000</c:v>
                </c:pt>
                <c:pt idx="88">
                  <c:v>108000</c:v>
                </c:pt>
                <c:pt idx="89">
                  <c:v>109000</c:v>
                </c:pt>
                <c:pt idx="90">
                  <c:v>91000</c:v>
                </c:pt>
                <c:pt idx="91">
                  <c:v>76000</c:v>
                </c:pt>
                <c:pt idx="92">
                  <c:v>59000</c:v>
                </c:pt>
                <c:pt idx="93">
                  <c:v>84000</c:v>
                </c:pt>
                <c:pt idx="94">
                  <c:v>108000</c:v>
                </c:pt>
                <c:pt idx="95">
                  <c:v>91000</c:v>
                </c:pt>
                <c:pt idx="96">
                  <c:v>101000</c:v>
                </c:pt>
                <c:pt idx="97">
                  <c:v>66000</c:v>
                </c:pt>
                <c:pt idx="98">
                  <c:v>70000</c:v>
                </c:pt>
                <c:pt idx="99">
                  <c:v>106000</c:v>
                </c:pt>
              </c:numCache>
            </c:numRef>
          </c:val>
          <c:extLst>
            <c:ext xmlns:c16="http://schemas.microsoft.com/office/drawing/2014/chart" uri="{C3380CC4-5D6E-409C-BE32-E72D297353CC}">
              <c16:uniqueId val="{00000000-AC4A-3E4C-8D63-F44E269252E3}"/>
            </c:ext>
          </c:extLst>
        </c:ser>
        <c:dLbls>
          <c:showLegendKey val="0"/>
          <c:showVal val="0"/>
          <c:showCatName val="0"/>
          <c:showSerName val="0"/>
          <c:showPercent val="0"/>
          <c:showBubbleSize val="0"/>
        </c:dLbls>
        <c:gapWidth val="150"/>
        <c:overlap val="100"/>
        <c:axId val="48650112"/>
        <c:axId val="48672768"/>
      </c:barChart>
      <c:valAx>
        <c:axId val="48672768"/>
        <c:scaling>
          <c:orientation val="minMax"/>
        </c:scaling>
        <c:delete val="0"/>
        <c:axPos val="l"/>
        <c:numFmt formatCode=";;" sourceLinked="0"/>
        <c:majorTickMark val="none"/>
        <c:minorTickMark val="none"/>
        <c:tickLblPos val="nextTo"/>
        <c:crossAx val="48650112"/>
        <c:crosses val="autoZero"/>
        <c:crossBetween val="between"/>
      </c:valAx>
      <c:catAx>
        <c:axId val="48650112"/>
        <c:scaling>
          <c:orientation val="minMax"/>
        </c:scaling>
        <c:delete val="0"/>
        <c:axPos val="b"/>
        <c:numFmt formatCode="#,##0" sourceLinked="1"/>
        <c:majorTickMark val="none"/>
        <c:minorTickMark val="none"/>
        <c:tickLblPos val="nextTo"/>
        <c:crossAx val="48672768"/>
        <c:crosses val="autoZero"/>
        <c:auto val="1"/>
        <c:lblAlgn val="ctr"/>
        <c:lblOffset val="100"/>
        <c:noMultiLvlLbl val="0"/>
      </c:catAx>
    </c:plotArea>
    <c:legend>
      <c:legendPos val="r"/>
      <c:layout>
        <c:manualLayout>
          <c:xMode val="edge"/>
          <c:yMode val="edge"/>
          <c:x val="0.97231048487360128"/>
          <c:y val="3.4087329992841836E-2"/>
          <c:w val="2.7163199336924994E-2"/>
          <c:h val="0.50227630637079457"/>
        </c:manualLayout>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203200</xdr:colOff>
      <xdr:row>7</xdr:row>
      <xdr:rowOff>139700</xdr:rowOff>
    </xdr:from>
    <xdr:to>
      <xdr:col>6</xdr:col>
      <xdr:colOff>241300</xdr:colOff>
      <xdr:row>20</xdr:row>
      <xdr:rowOff>190500</xdr:rowOff>
    </xdr:to>
    <xdr:graphicFrame macro="">
      <xdr:nvGraphicFramePr>
        <xdr:cNvPr id="2" name="Chart">
          <a:extLst>
            <a:ext uri="{FF2B5EF4-FFF2-40B4-BE49-F238E27FC236}">
              <a16:creationId xmlns:a16="http://schemas.microsoft.com/office/drawing/2014/main" id="{512F32A7-3337-DE4E-BB50-325AE922F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114300</xdr:colOff>
      <xdr:row>7</xdr:row>
      <xdr:rowOff>114300</xdr:rowOff>
    </xdr:from>
    <xdr:to>
      <xdr:col>14</xdr:col>
      <xdr:colOff>596900</xdr:colOff>
      <xdr:row>23</xdr:row>
      <xdr:rowOff>101600</xdr:rowOff>
    </xdr:to>
    <xdr:graphicFrame macro="">
      <xdr:nvGraphicFramePr>
        <xdr:cNvPr id="4" name="Chart">
          <a:extLst>
            <a:ext uri="{FF2B5EF4-FFF2-40B4-BE49-F238E27FC236}">
              <a16:creationId xmlns:a16="http://schemas.microsoft.com/office/drawing/2014/main" id="{AB56E668-C9D3-9249-9A38-FA4F26605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431800</xdr:colOff>
      <xdr:row>30</xdr:row>
      <xdr:rowOff>190500</xdr:rowOff>
    </xdr:from>
    <xdr:to>
      <xdr:col>6</xdr:col>
      <xdr:colOff>571500</xdr:colOff>
      <xdr:row>57</xdr:row>
      <xdr:rowOff>38100</xdr:rowOff>
    </xdr:to>
    <xdr:graphicFrame macro="">
      <xdr:nvGraphicFramePr>
        <xdr:cNvPr id="5" name="Chart">
          <a:extLst>
            <a:ext uri="{FF2B5EF4-FFF2-40B4-BE49-F238E27FC236}">
              <a16:creationId xmlns:a16="http://schemas.microsoft.com/office/drawing/2014/main" id="{02F528EF-8FD9-524B-9411-91502674A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774700</xdr:colOff>
      <xdr:row>34</xdr:row>
      <xdr:rowOff>177800</xdr:rowOff>
    </xdr:from>
    <xdr:to>
      <xdr:col>34</xdr:col>
      <xdr:colOff>254000</xdr:colOff>
      <xdr:row>52</xdr:row>
      <xdr:rowOff>76200</xdr:rowOff>
    </xdr:to>
    <xdr:graphicFrame macro="">
      <xdr:nvGraphicFramePr>
        <xdr:cNvPr id="9" name="Chart">
          <a:extLst>
            <a:ext uri="{FF2B5EF4-FFF2-40B4-BE49-F238E27FC236}">
              <a16:creationId xmlns:a16="http://schemas.microsoft.com/office/drawing/2014/main" id="{3CE1E6FE-4E8F-0946-A8B2-743233BA8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69</xdr:row>
      <xdr:rowOff>0</xdr:rowOff>
    </xdr:from>
    <xdr:to>
      <xdr:col>32</xdr:col>
      <xdr:colOff>127000</xdr:colOff>
      <xdr:row>82</xdr:row>
      <xdr:rowOff>152400</xdr:rowOff>
    </xdr:to>
    <xdr:graphicFrame macro="">
      <xdr:nvGraphicFramePr>
        <xdr:cNvPr id="13" name="Chart">
          <a:extLst>
            <a:ext uri="{FF2B5EF4-FFF2-40B4-BE49-F238E27FC236}">
              <a16:creationId xmlns:a16="http://schemas.microsoft.com/office/drawing/2014/main" id="{EBA6281E-2460-6E41-B60D-6A0EF050A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hrishikasansanwal/Downloads/Perfume_Startup_Analytics_Assignment.xlsx" TargetMode="External"/><Relationship Id="rId1" Type="http://schemas.openxmlformats.org/officeDocument/2006/relationships/externalLinkPath" Target="Perfume_Startup_Analytics_Assig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Raw_Data"/>
      <sheetName val="Cleaned_Data"/>
      <sheetName val="Cleaning_Log"/>
      <sheetName val="Summary_Stats"/>
      <sheetName val="Correlation"/>
      <sheetName val="Graphs"/>
      <sheetName val="Report_Notes"/>
    </sheetNames>
    <sheetDataSet>
      <sheetData sheetId="0" refreshError="1"/>
      <sheetData sheetId="1" refreshError="1"/>
      <sheetData sheetId="2">
        <row r="4">
          <cell r="E4">
            <v>91000</v>
          </cell>
          <cell r="I4">
            <v>5000</v>
          </cell>
          <cell r="J4">
            <v>2</v>
          </cell>
          <cell r="L4">
            <v>4</v>
          </cell>
        </row>
        <row r="5">
          <cell r="E5">
            <v>54000</v>
          </cell>
          <cell r="I5">
            <v>4800</v>
          </cell>
          <cell r="J5">
            <v>4</v>
          </cell>
          <cell r="L5">
            <v>5</v>
          </cell>
        </row>
        <row r="6">
          <cell r="E6">
            <v>62000</v>
          </cell>
          <cell r="I6">
            <v>4700</v>
          </cell>
          <cell r="J6">
            <v>4</v>
          </cell>
          <cell r="L6">
            <v>4</v>
          </cell>
        </row>
        <row r="7">
          <cell r="E7">
            <v>100000</v>
          </cell>
          <cell r="I7">
            <v>7500</v>
          </cell>
          <cell r="J7">
            <v>2</v>
          </cell>
          <cell r="L7">
            <v>5</v>
          </cell>
        </row>
        <row r="8">
          <cell r="E8">
            <v>91000</v>
          </cell>
          <cell r="I8">
            <v>6000</v>
          </cell>
          <cell r="J8">
            <v>3</v>
          </cell>
          <cell r="L8">
            <v>5</v>
          </cell>
        </row>
        <row r="9">
          <cell r="E9">
            <v>83000</v>
          </cell>
          <cell r="I9">
            <v>7100</v>
          </cell>
          <cell r="J9">
            <v>2</v>
          </cell>
          <cell r="L9">
            <v>5</v>
          </cell>
        </row>
        <row r="10">
          <cell r="E10">
            <v>75000</v>
          </cell>
          <cell r="I10">
            <v>5200</v>
          </cell>
          <cell r="J10">
            <v>4</v>
          </cell>
          <cell r="L10">
            <v>5</v>
          </cell>
        </row>
        <row r="11">
          <cell r="E11">
            <v>117000</v>
          </cell>
          <cell r="I11">
            <v>7900</v>
          </cell>
          <cell r="J11">
            <v>2</v>
          </cell>
          <cell r="L11">
            <v>4</v>
          </cell>
        </row>
        <row r="12">
          <cell r="E12">
            <v>88000</v>
          </cell>
          <cell r="I12">
            <v>5900</v>
          </cell>
          <cell r="J12">
            <v>2</v>
          </cell>
          <cell r="L12">
            <v>5</v>
          </cell>
        </row>
        <row r="13">
          <cell r="E13">
            <v>73000</v>
          </cell>
          <cell r="I13">
            <v>5200</v>
          </cell>
          <cell r="J13">
            <v>3</v>
          </cell>
          <cell r="L13">
            <v>5</v>
          </cell>
        </row>
        <row r="14">
          <cell r="E14">
            <v>93000</v>
          </cell>
          <cell r="I14">
            <v>5600</v>
          </cell>
          <cell r="J14">
            <v>4</v>
          </cell>
          <cell r="L14">
            <v>5</v>
          </cell>
        </row>
        <row r="15">
          <cell r="E15">
            <v>89000</v>
          </cell>
          <cell r="I15">
            <v>6300</v>
          </cell>
          <cell r="J15">
            <v>2</v>
          </cell>
          <cell r="L15">
            <v>5</v>
          </cell>
        </row>
        <row r="16">
          <cell r="E16">
            <v>110000</v>
          </cell>
          <cell r="I16">
            <v>7300</v>
          </cell>
          <cell r="J16">
            <v>1</v>
          </cell>
          <cell r="L16">
            <v>4</v>
          </cell>
        </row>
        <row r="17">
          <cell r="E17">
            <v>109000</v>
          </cell>
          <cell r="I17">
            <v>7700</v>
          </cell>
          <cell r="J17">
            <v>2</v>
          </cell>
          <cell r="L17">
            <v>5</v>
          </cell>
        </row>
        <row r="18">
          <cell r="E18">
            <v>62000</v>
          </cell>
          <cell r="I18">
            <v>3700</v>
          </cell>
          <cell r="J18">
            <v>4</v>
          </cell>
          <cell r="L18">
            <v>5</v>
          </cell>
        </row>
        <row r="19">
          <cell r="E19">
            <v>100000</v>
          </cell>
          <cell r="I19">
            <v>7000</v>
          </cell>
          <cell r="J19">
            <v>2</v>
          </cell>
          <cell r="L19">
            <v>5</v>
          </cell>
        </row>
        <row r="20">
          <cell r="E20">
            <v>105000</v>
          </cell>
          <cell r="I20">
            <v>6800</v>
          </cell>
          <cell r="J20">
            <v>2</v>
          </cell>
          <cell r="L20">
            <v>5</v>
          </cell>
        </row>
        <row r="21">
          <cell r="E21">
            <v>57000</v>
          </cell>
          <cell r="I21">
            <v>3500</v>
          </cell>
          <cell r="J21">
            <v>4</v>
          </cell>
          <cell r="L21">
            <v>4</v>
          </cell>
        </row>
        <row r="22">
          <cell r="E22">
            <v>72000</v>
          </cell>
          <cell r="I22">
            <v>5200</v>
          </cell>
          <cell r="J22">
            <v>4</v>
          </cell>
          <cell r="L22">
            <v>5</v>
          </cell>
        </row>
        <row r="23">
          <cell r="E23">
            <v>93000</v>
          </cell>
          <cell r="I23">
            <v>7800</v>
          </cell>
          <cell r="J23">
            <v>3</v>
          </cell>
          <cell r="L23">
            <v>4</v>
          </cell>
        </row>
        <row r="24">
          <cell r="E24">
            <v>65000</v>
          </cell>
          <cell r="I24">
            <v>6300</v>
          </cell>
          <cell r="J24">
            <v>3</v>
          </cell>
          <cell r="L24">
            <v>4</v>
          </cell>
        </row>
        <row r="25">
          <cell r="E25">
            <v>102000</v>
          </cell>
          <cell r="I25">
            <v>7200</v>
          </cell>
          <cell r="J25">
            <v>3</v>
          </cell>
          <cell r="L25">
            <v>5</v>
          </cell>
        </row>
        <row r="26">
          <cell r="E26">
            <v>76000</v>
          </cell>
          <cell r="I26">
            <v>7500</v>
          </cell>
          <cell r="J26">
            <v>5</v>
          </cell>
          <cell r="L26">
            <v>5</v>
          </cell>
        </row>
        <row r="27">
          <cell r="E27">
            <v>89000</v>
          </cell>
          <cell r="I27">
            <v>5400</v>
          </cell>
          <cell r="J27">
            <v>3</v>
          </cell>
          <cell r="L27">
            <v>4</v>
          </cell>
        </row>
        <row r="28">
          <cell r="E28">
            <v>97000</v>
          </cell>
          <cell r="I28">
            <v>6000</v>
          </cell>
          <cell r="J28">
            <v>2</v>
          </cell>
          <cell r="L28">
            <v>4</v>
          </cell>
        </row>
        <row r="29">
          <cell r="E29">
            <v>71000</v>
          </cell>
          <cell r="I29">
            <v>5900</v>
          </cell>
          <cell r="J29">
            <v>4</v>
          </cell>
          <cell r="L29">
            <v>4</v>
          </cell>
        </row>
        <row r="30">
          <cell r="E30">
            <v>68000</v>
          </cell>
          <cell r="I30">
            <v>4400</v>
          </cell>
          <cell r="J30">
            <v>4</v>
          </cell>
          <cell r="L30">
            <v>3</v>
          </cell>
        </row>
        <row r="31">
          <cell r="E31">
            <v>71000</v>
          </cell>
          <cell r="I31">
            <v>5700</v>
          </cell>
          <cell r="J31">
            <v>4</v>
          </cell>
          <cell r="L31">
            <v>5</v>
          </cell>
        </row>
        <row r="32">
          <cell r="E32">
            <v>120000</v>
          </cell>
          <cell r="I32">
            <v>6600</v>
          </cell>
          <cell r="J32">
            <v>3</v>
          </cell>
          <cell r="L32">
            <v>5</v>
          </cell>
        </row>
        <row r="33">
          <cell r="E33">
            <v>112000</v>
          </cell>
          <cell r="I33">
            <v>6700</v>
          </cell>
          <cell r="J33">
            <v>1</v>
          </cell>
          <cell r="L33">
            <v>4</v>
          </cell>
        </row>
        <row r="34">
          <cell r="E34">
            <v>125000</v>
          </cell>
          <cell r="I34">
            <v>6800</v>
          </cell>
          <cell r="J34">
            <v>1</v>
          </cell>
          <cell r="L34">
            <v>5</v>
          </cell>
        </row>
        <row r="35">
          <cell r="E35">
            <v>84000</v>
          </cell>
          <cell r="I35">
            <v>5900</v>
          </cell>
          <cell r="J35">
            <v>2</v>
          </cell>
          <cell r="L35">
            <v>4</v>
          </cell>
        </row>
        <row r="36">
          <cell r="E36">
            <v>68000</v>
          </cell>
          <cell r="I36">
            <v>4500</v>
          </cell>
          <cell r="J36">
            <v>4</v>
          </cell>
          <cell r="L36">
            <v>5</v>
          </cell>
        </row>
        <row r="37">
          <cell r="E37">
            <v>80000</v>
          </cell>
          <cell r="I37">
            <v>5800</v>
          </cell>
          <cell r="J37">
            <v>4</v>
          </cell>
          <cell r="L37">
            <v>5</v>
          </cell>
        </row>
        <row r="38">
          <cell r="E38">
            <v>72000</v>
          </cell>
          <cell r="I38">
            <v>6300</v>
          </cell>
          <cell r="J38">
            <v>5</v>
          </cell>
          <cell r="L38">
            <v>5</v>
          </cell>
        </row>
        <row r="39">
          <cell r="E39">
            <v>69000</v>
          </cell>
          <cell r="I39">
            <v>5400</v>
          </cell>
          <cell r="J39">
            <v>3</v>
          </cell>
          <cell r="L39">
            <v>4</v>
          </cell>
        </row>
        <row r="40">
          <cell r="E40">
            <v>90000</v>
          </cell>
          <cell r="I40">
            <v>7500</v>
          </cell>
          <cell r="J40">
            <v>3</v>
          </cell>
          <cell r="L40">
            <v>5</v>
          </cell>
        </row>
        <row r="41">
          <cell r="E41">
            <v>75000</v>
          </cell>
          <cell r="I41">
            <v>6600</v>
          </cell>
          <cell r="J41">
            <v>5</v>
          </cell>
          <cell r="L41">
            <v>5</v>
          </cell>
        </row>
        <row r="42">
          <cell r="E42">
            <v>81000</v>
          </cell>
          <cell r="I42">
            <v>4900</v>
          </cell>
          <cell r="J42">
            <v>2</v>
          </cell>
          <cell r="L42">
            <v>3</v>
          </cell>
        </row>
        <row r="43">
          <cell r="E43">
            <v>70000</v>
          </cell>
          <cell r="I43">
            <v>5300</v>
          </cell>
          <cell r="J43">
            <v>4</v>
          </cell>
          <cell r="L43">
            <v>4</v>
          </cell>
        </row>
        <row r="44">
          <cell r="E44">
            <v>102000</v>
          </cell>
          <cell r="I44">
            <v>6600</v>
          </cell>
          <cell r="J44">
            <v>2</v>
          </cell>
          <cell r="L44">
            <v>4</v>
          </cell>
        </row>
        <row r="45">
          <cell r="E45">
            <v>111000</v>
          </cell>
          <cell r="I45">
            <v>8000</v>
          </cell>
          <cell r="J45">
            <v>2</v>
          </cell>
          <cell r="L45">
            <v>5</v>
          </cell>
        </row>
        <row r="46">
          <cell r="E46">
            <v>98000</v>
          </cell>
          <cell r="I46">
            <v>5100</v>
          </cell>
          <cell r="J46">
            <v>2</v>
          </cell>
          <cell r="L46">
            <v>5</v>
          </cell>
        </row>
        <row r="47">
          <cell r="E47">
            <v>63000</v>
          </cell>
          <cell r="I47">
            <v>4600</v>
          </cell>
          <cell r="J47">
            <v>3</v>
          </cell>
          <cell r="L47">
            <v>5</v>
          </cell>
        </row>
        <row r="48">
          <cell r="E48">
            <v>93000</v>
          </cell>
          <cell r="I48">
            <v>6700</v>
          </cell>
          <cell r="J48">
            <v>3</v>
          </cell>
          <cell r="L48">
            <v>4</v>
          </cell>
        </row>
        <row r="49">
          <cell r="E49">
            <v>96000</v>
          </cell>
          <cell r="I49">
            <v>5900</v>
          </cell>
          <cell r="J49">
            <v>2</v>
          </cell>
          <cell r="L49">
            <v>5</v>
          </cell>
        </row>
        <row r="50">
          <cell r="E50">
            <v>89000</v>
          </cell>
          <cell r="I50">
            <v>6500</v>
          </cell>
          <cell r="J50">
            <v>3</v>
          </cell>
          <cell r="L50">
            <v>4</v>
          </cell>
        </row>
        <row r="51">
          <cell r="E51">
            <v>118000</v>
          </cell>
          <cell r="I51">
            <v>8400</v>
          </cell>
          <cell r="J51">
            <v>2</v>
          </cell>
          <cell r="L51">
            <v>4</v>
          </cell>
        </row>
        <row r="52">
          <cell r="E52">
            <v>72000</v>
          </cell>
          <cell r="I52">
            <v>4700</v>
          </cell>
          <cell r="J52">
            <v>3</v>
          </cell>
          <cell r="L52">
            <v>4</v>
          </cell>
        </row>
        <row r="53">
          <cell r="E53">
            <v>87000</v>
          </cell>
          <cell r="I53">
            <v>6500</v>
          </cell>
          <cell r="J53">
            <v>3</v>
          </cell>
          <cell r="L53">
            <v>5</v>
          </cell>
        </row>
        <row r="54">
          <cell r="E54">
            <v>98000</v>
          </cell>
          <cell r="I54">
            <v>5500</v>
          </cell>
          <cell r="J54">
            <v>3</v>
          </cell>
          <cell r="L54">
            <v>4</v>
          </cell>
        </row>
        <row r="55">
          <cell r="E55">
            <v>96000</v>
          </cell>
          <cell r="I55">
            <v>6300</v>
          </cell>
          <cell r="J55">
            <v>3</v>
          </cell>
          <cell r="L55">
            <v>5</v>
          </cell>
        </row>
        <row r="56">
          <cell r="E56">
            <v>102000</v>
          </cell>
          <cell r="I56">
            <v>6600</v>
          </cell>
          <cell r="J56">
            <v>2</v>
          </cell>
          <cell r="L56">
            <v>4</v>
          </cell>
        </row>
        <row r="57">
          <cell r="E57">
            <v>93000</v>
          </cell>
          <cell r="I57">
            <v>7900</v>
          </cell>
          <cell r="J57">
            <v>4</v>
          </cell>
          <cell r="L57">
            <v>5</v>
          </cell>
        </row>
        <row r="58">
          <cell r="E58">
            <v>90000</v>
          </cell>
          <cell r="I58">
            <v>6100</v>
          </cell>
          <cell r="J58">
            <v>2</v>
          </cell>
          <cell r="L58">
            <v>4</v>
          </cell>
        </row>
        <row r="59">
          <cell r="E59">
            <v>84000</v>
          </cell>
          <cell r="I59">
            <v>5900</v>
          </cell>
          <cell r="J59">
            <v>3</v>
          </cell>
          <cell r="L59">
            <v>5</v>
          </cell>
        </row>
        <row r="60">
          <cell r="E60">
            <v>58000</v>
          </cell>
          <cell r="I60">
            <v>5800</v>
          </cell>
          <cell r="J60">
            <v>4</v>
          </cell>
          <cell r="L60">
            <v>4</v>
          </cell>
        </row>
        <row r="61">
          <cell r="E61">
            <v>113000</v>
          </cell>
          <cell r="I61">
            <v>7200</v>
          </cell>
          <cell r="J61">
            <v>2</v>
          </cell>
          <cell r="L61">
            <v>4</v>
          </cell>
        </row>
        <row r="62">
          <cell r="E62">
            <v>93000</v>
          </cell>
          <cell r="I62">
            <v>6000</v>
          </cell>
          <cell r="J62">
            <v>3</v>
          </cell>
          <cell r="L62">
            <v>5</v>
          </cell>
        </row>
        <row r="63">
          <cell r="E63">
            <v>94000</v>
          </cell>
          <cell r="I63">
            <v>6900</v>
          </cell>
          <cell r="J63">
            <v>3</v>
          </cell>
          <cell r="L63">
            <v>5</v>
          </cell>
        </row>
        <row r="64">
          <cell r="E64">
            <v>76000</v>
          </cell>
          <cell r="I64">
            <v>5100</v>
          </cell>
          <cell r="J64">
            <v>3</v>
          </cell>
          <cell r="L64">
            <v>5</v>
          </cell>
        </row>
        <row r="65">
          <cell r="E65">
            <v>68000</v>
          </cell>
          <cell r="I65">
            <v>3700</v>
          </cell>
          <cell r="J65">
            <v>3</v>
          </cell>
          <cell r="L65">
            <v>3</v>
          </cell>
        </row>
        <row r="66">
          <cell r="E66">
            <v>99000</v>
          </cell>
          <cell r="I66">
            <v>6700</v>
          </cell>
          <cell r="J66">
            <v>2</v>
          </cell>
          <cell r="L66">
            <v>4</v>
          </cell>
        </row>
        <row r="67">
          <cell r="E67">
            <v>101000</v>
          </cell>
          <cell r="I67">
            <v>7300</v>
          </cell>
          <cell r="J67">
            <v>2</v>
          </cell>
          <cell r="L67">
            <v>5</v>
          </cell>
        </row>
        <row r="68">
          <cell r="E68">
            <v>86000</v>
          </cell>
          <cell r="I68">
            <v>6400</v>
          </cell>
          <cell r="J68">
            <v>3</v>
          </cell>
          <cell r="L68">
            <v>5</v>
          </cell>
        </row>
        <row r="69">
          <cell r="E69">
            <v>101000</v>
          </cell>
          <cell r="I69">
            <v>6100</v>
          </cell>
          <cell r="J69">
            <v>3</v>
          </cell>
          <cell r="L69">
            <v>5</v>
          </cell>
        </row>
        <row r="70">
          <cell r="E70">
            <v>50000</v>
          </cell>
          <cell r="I70">
            <v>5200</v>
          </cell>
          <cell r="J70">
            <v>5</v>
          </cell>
          <cell r="L70">
            <v>5</v>
          </cell>
        </row>
        <row r="71">
          <cell r="E71">
            <v>64000</v>
          </cell>
          <cell r="I71">
            <v>3800</v>
          </cell>
          <cell r="J71">
            <v>4</v>
          </cell>
          <cell r="L71">
            <v>4</v>
          </cell>
        </row>
        <row r="72">
          <cell r="E72">
            <v>56000</v>
          </cell>
          <cell r="I72">
            <v>3200</v>
          </cell>
          <cell r="J72">
            <v>3</v>
          </cell>
          <cell r="L72">
            <v>4</v>
          </cell>
        </row>
        <row r="73">
          <cell r="E73">
            <v>105000</v>
          </cell>
          <cell r="I73">
            <v>6200</v>
          </cell>
          <cell r="J73">
            <v>2</v>
          </cell>
          <cell r="L73">
            <v>5</v>
          </cell>
        </row>
        <row r="74">
          <cell r="E74">
            <v>109000</v>
          </cell>
          <cell r="I74">
            <v>5500</v>
          </cell>
          <cell r="J74">
            <v>1</v>
          </cell>
          <cell r="L74">
            <v>3</v>
          </cell>
        </row>
        <row r="75">
          <cell r="E75">
            <v>76000</v>
          </cell>
          <cell r="I75">
            <v>6300</v>
          </cell>
          <cell r="J75">
            <v>2</v>
          </cell>
          <cell r="L75">
            <v>5</v>
          </cell>
        </row>
        <row r="76">
          <cell r="E76">
            <v>121000</v>
          </cell>
          <cell r="I76">
            <v>6600</v>
          </cell>
          <cell r="J76">
            <v>2</v>
          </cell>
          <cell r="L76">
            <v>4</v>
          </cell>
        </row>
        <row r="77">
          <cell r="E77">
            <v>85000</v>
          </cell>
          <cell r="I77">
            <v>7400</v>
          </cell>
          <cell r="J77">
            <v>4</v>
          </cell>
          <cell r="L77">
            <v>5</v>
          </cell>
        </row>
        <row r="78">
          <cell r="E78">
            <v>99000</v>
          </cell>
          <cell r="I78">
            <v>6000</v>
          </cell>
          <cell r="J78">
            <v>2</v>
          </cell>
          <cell r="L78">
            <v>5</v>
          </cell>
        </row>
        <row r="79">
          <cell r="E79">
            <v>97000</v>
          </cell>
          <cell r="I79">
            <v>6500</v>
          </cell>
          <cell r="J79">
            <v>2</v>
          </cell>
          <cell r="L79">
            <v>4</v>
          </cell>
        </row>
        <row r="80">
          <cell r="E80">
            <v>106000</v>
          </cell>
          <cell r="I80">
            <v>7500</v>
          </cell>
          <cell r="J80">
            <v>3</v>
          </cell>
          <cell r="L80">
            <v>5</v>
          </cell>
        </row>
        <row r="81">
          <cell r="E81">
            <v>79000</v>
          </cell>
          <cell r="I81">
            <v>6000</v>
          </cell>
          <cell r="J81">
            <v>4</v>
          </cell>
          <cell r="L81">
            <v>5</v>
          </cell>
        </row>
        <row r="82">
          <cell r="E82">
            <v>74000</v>
          </cell>
          <cell r="I82">
            <v>4800</v>
          </cell>
          <cell r="J82">
            <v>4</v>
          </cell>
          <cell r="L82">
            <v>3</v>
          </cell>
        </row>
        <row r="83">
          <cell r="E83">
            <v>97000</v>
          </cell>
          <cell r="I83">
            <v>6000</v>
          </cell>
          <cell r="J83">
            <v>3</v>
          </cell>
          <cell r="L83">
            <v>5</v>
          </cell>
        </row>
        <row r="84">
          <cell r="E84">
            <v>93000</v>
          </cell>
          <cell r="I84">
            <v>5800</v>
          </cell>
          <cell r="J84">
            <v>3</v>
          </cell>
          <cell r="L84">
            <v>4</v>
          </cell>
        </row>
        <row r="85">
          <cell r="E85">
            <v>100000</v>
          </cell>
          <cell r="I85">
            <v>7800</v>
          </cell>
          <cell r="J85">
            <v>2</v>
          </cell>
          <cell r="L85">
            <v>5</v>
          </cell>
        </row>
        <row r="86">
          <cell r="E86">
            <v>95000</v>
          </cell>
          <cell r="I86">
            <v>6600</v>
          </cell>
          <cell r="J86">
            <v>2</v>
          </cell>
          <cell r="L86">
            <v>4</v>
          </cell>
        </row>
        <row r="87">
          <cell r="E87">
            <v>121000</v>
          </cell>
          <cell r="I87">
            <v>8300</v>
          </cell>
          <cell r="J87">
            <v>2</v>
          </cell>
          <cell r="L87">
            <v>5</v>
          </cell>
        </row>
        <row r="88">
          <cell r="E88">
            <v>94000</v>
          </cell>
          <cell r="I88">
            <v>6800</v>
          </cell>
          <cell r="J88">
            <v>3</v>
          </cell>
          <cell r="L88">
            <v>5</v>
          </cell>
        </row>
        <row r="89">
          <cell r="E89">
            <v>73000</v>
          </cell>
          <cell r="I89">
            <v>6400</v>
          </cell>
          <cell r="J89">
            <v>4</v>
          </cell>
          <cell r="L89">
            <v>5</v>
          </cell>
        </row>
        <row r="90">
          <cell r="E90">
            <v>59000</v>
          </cell>
          <cell r="I90">
            <v>4100</v>
          </cell>
          <cell r="J90">
            <v>5</v>
          </cell>
          <cell r="L90">
            <v>5</v>
          </cell>
        </row>
        <row r="91">
          <cell r="E91">
            <v>72000</v>
          </cell>
          <cell r="I91">
            <v>6400</v>
          </cell>
          <cell r="J91">
            <v>3</v>
          </cell>
          <cell r="L91">
            <v>5</v>
          </cell>
        </row>
        <row r="92">
          <cell r="E92">
            <v>108000</v>
          </cell>
          <cell r="I92">
            <v>6600</v>
          </cell>
          <cell r="J92">
            <v>2</v>
          </cell>
          <cell r="L92">
            <v>4</v>
          </cell>
        </row>
        <row r="93">
          <cell r="E93">
            <v>109000</v>
          </cell>
          <cell r="I93">
            <v>7100</v>
          </cell>
          <cell r="J93">
            <v>1</v>
          </cell>
          <cell r="L93">
            <v>4</v>
          </cell>
        </row>
        <row r="94">
          <cell r="E94">
            <v>91000</v>
          </cell>
          <cell r="I94">
            <v>6700</v>
          </cell>
          <cell r="J94">
            <v>3</v>
          </cell>
          <cell r="L94">
            <v>5</v>
          </cell>
        </row>
        <row r="95">
          <cell r="E95">
            <v>76000</v>
          </cell>
          <cell r="I95">
            <v>5500</v>
          </cell>
          <cell r="J95">
            <v>4</v>
          </cell>
          <cell r="L95">
            <v>4</v>
          </cell>
        </row>
        <row r="96">
          <cell r="E96">
            <v>59000</v>
          </cell>
          <cell r="I96">
            <v>5300</v>
          </cell>
          <cell r="J96">
            <v>4</v>
          </cell>
          <cell r="L96">
            <v>5</v>
          </cell>
        </row>
        <row r="97">
          <cell r="E97">
            <v>84000</v>
          </cell>
          <cell r="I97">
            <v>6500</v>
          </cell>
          <cell r="J97">
            <v>2</v>
          </cell>
          <cell r="L97">
            <v>5</v>
          </cell>
        </row>
        <row r="98">
          <cell r="E98">
            <v>108000</v>
          </cell>
          <cell r="I98">
            <v>7300</v>
          </cell>
          <cell r="J98">
            <v>2</v>
          </cell>
          <cell r="L98">
            <v>5</v>
          </cell>
        </row>
        <row r="99">
          <cell r="E99">
            <v>91000</v>
          </cell>
          <cell r="I99">
            <v>7800</v>
          </cell>
          <cell r="J99">
            <v>3</v>
          </cell>
          <cell r="L99">
            <v>5</v>
          </cell>
        </row>
        <row r="100">
          <cell r="E100">
            <v>101000</v>
          </cell>
          <cell r="I100">
            <v>5600</v>
          </cell>
          <cell r="J100">
            <v>1</v>
          </cell>
          <cell r="L100">
            <v>3</v>
          </cell>
        </row>
        <row r="101">
          <cell r="E101">
            <v>66000</v>
          </cell>
          <cell r="I101">
            <v>6400</v>
          </cell>
          <cell r="J101">
            <v>4</v>
          </cell>
          <cell r="L101">
            <v>5</v>
          </cell>
        </row>
        <row r="102">
          <cell r="E102">
            <v>70000</v>
          </cell>
          <cell r="I102">
            <v>6100</v>
          </cell>
          <cell r="J102">
            <v>3</v>
          </cell>
          <cell r="L102">
            <v>5</v>
          </cell>
        </row>
        <row r="103">
          <cell r="E103">
            <v>106000</v>
          </cell>
          <cell r="I103">
            <v>8100</v>
          </cell>
          <cell r="J103">
            <v>1</v>
          </cell>
          <cell r="L103">
            <v>4</v>
          </cell>
        </row>
      </sheetData>
      <sheetData sheetId="3" refreshError="1"/>
      <sheetData sheetId="4">
        <row r="5">
          <cell r="D5" t="str">
            <v>Floral</v>
          </cell>
          <cell r="E5">
            <v>20</v>
          </cell>
          <cell r="G5" t="str">
            <v>Online</v>
          </cell>
          <cell r="H5">
            <v>40</v>
          </cell>
        </row>
        <row r="6">
          <cell r="D6" t="str">
            <v>Woody</v>
          </cell>
          <cell r="E6">
            <v>31</v>
          </cell>
          <cell r="G6" t="str">
            <v>Offline</v>
          </cell>
          <cell r="H6">
            <v>60</v>
          </cell>
        </row>
        <row r="7">
          <cell r="D7" t="str">
            <v>Citrus</v>
          </cell>
          <cell r="E7">
            <v>14</v>
          </cell>
        </row>
        <row r="8">
          <cell r="D8" t="str">
            <v>Oriental</v>
          </cell>
          <cell r="E8">
            <v>17</v>
          </cell>
        </row>
        <row r="9">
          <cell r="D9" t="str">
            <v>Fresh</v>
          </cell>
          <cell r="E9">
            <v>18</v>
          </cell>
        </row>
        <row r="12">
          <cell r="D12" t="str">
            <v>18-24</v>
          </cell>
          <cell r="E12">
            <v>4.46</v>
          </cell>
        </row>
        <row r="13">
          <cell r="D13" t="str">
            <v>25-30</v>
          </cell>
          <cell r="E13">
            <v>4.6100000000000003</v>
          </cell>
        </row>
        <row r="14">
          <cell r="D14" t="str">
            <v>31-36</v>
          </cell>
          <cell r="E14">
            <v>4.6399999999999997</v>
          </cell>
        </row>
        <row r="15">
          <cell r="D15" t="str">
            <v>37-45</v>
          </cell>
          <cell r="E15">
            <v>4.45</v>
          </cell>
        </row>
      </sheetData>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AF519-A6A5-B24E-A6AA-5CD084D1EA45}">
  <dimension ref="A1:N40"/>
  <sheetViews>
    <sheetView workbookViewId="0">
      <selection activeCell="A36" sqref="A36:H36"/>
    </sheetView>
  </sheetViews>
  <sheetFormatPr baseColWidth="10" defaultRowHeight="16" x14ac:dyDescent="0.2"/>
  <cols>
    <col min="1" max="1" width="23.6640625" customWidth="1"/>
    <col min="2" max="2" width="40.1640625" customWidth="1"/>
  </cols>
  <sheetData>
    <row r="1" spans="1:14" x14ac:dyDescent="0.2">
      <c r="A1" s="4" t="s">
        <v>45</v>
      </c>
      <c r="B1" s="4"/>
      <c r="C1" s="4"/>
      <c r="D1" s="4"/>
      <c r="E1" s="4"/>
      <c r="F1" s="4"/>
    </row>
    <row r="3" spans="1:14" x14ac:dyDescent="0.2">
      <c r="A3" s="4" t="s">
        <v>0</v>
      </c>
      <c r="B3" s="4"/>
    </row>
    <row r="4" spans="1:14" x14ac:dyDescent="0.2">
      <c r="A4" s="5" t="s">
        <v>3</v>
      </c>
      <c r="B4" s="5"/>
      <c r="C4" s="5" t="s">
        <v>6</v>
      </c>
      <c r="D4" s="5"/>
      <c r="E4" s="5"/>
      <c r="F4" s="5"/>
      <c r="G4" s="5"/>
      <c r="H4" s="5"/>
      <c r="I4" s="5"/>
      <c r="J4" s="5"/>
      <c r="K4" s="5"/>
      <c r="L4" s="5"/>
      <c r="M4" s="5"/>
      <c r="N4" s="5"/>
    </row>
    <row r="5" spans="1:14" x14ac:dyDescent="0.2">
      <c r="A5" s="5" t="s">
        <v>4</v>
      </c>
      <c r="B5" s="5"/>
      <c r="C5" s="5" t="s">
        <v>123</v>
      </c>
      <c r="D5" s="5"/>
      <c r="E5" s="5"/>
      <c r="F5" s="5"/>
      <c r="G5" s="5"/>
      <c r="H5" s="5"/>
      <c r="I5" s="5"/>
      <c r="J5" s="5"/>
      <c r="K5" s="5"/>
      <c r="L5" s="5"/>
      <c r="M5" s="5"/>
      <c r="N5" s="5"/>
    </row>
    <row r="6" spans="1:14" x14ac:dyDescent="0.2">
      <c r="A6" s="5" t="s">
        <v>7</v>
      </c>
      <c r="B6" s="5"/>
      <c r="C6" s="5" t="s">
        <v>8</v>
      </c>
      <c r="D6" s="5"/>
      <c r="E6" s="5"/>
      <c r="F6" s="5"/>
      <c r="G6" s="5"/>
      <c r="H6" s="5"/>
      <c r="I6" s="5"/>
      <c r="J6" s="5"/>
      <c r="K6" s="5"/>
      <c r="L6" s="5"/>
      <c r="M6" s="5"/>
      <c r="N6" s="5"/>
    </row>
    <row r="7" spans="1:14" x14ac:dyDescent="0.2">
      <c r="A7" s="5" t="s">
        <v>9</v>
      </c>
      <c r="B7" s="5"/>
      <c r="C7" s="5" t="s">
        <v>10</v>
      </c>
      <c r="D7" s="5"/>
      <c r="E7" s="5"/>
      <c r="F7" s="5"/>
      <c r="G7" s="5"/>
      <c r="H7" s="5"/>
      <c r="I7" s="5"/>
      <c r="J7" s="5"/>
      <c r="K7" s="5"/>
      <c r="L7" s="5"/>
      <c r="M7" s="5"/>
      <c r="N7" s="5"/>
    </row>
    <row r="8" spans="1:14" x14ac:dyDescent="0.2">
      <c r="A8" s="5" t="s">
        <v>5</v>
      </c>
      <c r="B8" s="5"/>
      <c r="C8" s="5" t="s">
        <v>11</v>
      </c>
      <c r="D8" s="5"/>
      <c r="E8" s="5"/>
      <c r="F8" s="5"/>
      <c r="G8" s="5"/>
      <c r="H8" s="5"/>
      <c r="I8" s="5"/>
      <c r="J8" s="5"/>
      <c r="K8" s="5"/>
      <c r="L8" s="5"/>
      <c r="M8" s="5"/>
      <c r="N8" s="5"/>
    </row>
    <row r="9" spans="1:14" x14ac:dyDescent="0.2">
      <c r="A9" s="5" t="s">
        <v>2</v>
      </c>
      <c r="B9" s="5"/>
      <c r="C9" s="5" t="s">
        <v>12</v>
      </c>
      <c r="D9" s="5"/>
      <c r="E9" s="5"/>
      <c r="F9" s="5"/>
      <c r="G9" s="5"/>
      <c r="H9" s="5"/>
      <c r="I9" s="5"/>
      <c r="J9" s="5"/>
      <c r="K9" s="5"/>
      <c r="L9" s="5"/>
      <c r="M9" s="5"/>
      <c r="N9" s="5"/>
    </row>
    <row r="11" spans="1:14" x14ac:dyDescent="0.2">
      <c r="A11" s="4" t="s">
        <v>13</v>
      </c>
      <c r="B11" s="4"/>
    </row>
    <row r="12" spans="1:14" x14ac:dyDescent="0.2">
      <c r="A12" t="s">
        <v>14</v>
      </c>
      <c r="B12" t="s">
        <v>15</v>
      </c>
      <c r="C12" t="s">
        <v>16</v>
      </c>
    </row>
    <row r="13" spans="1:14" x14ac:dyDescent="0.2">
      <c r="A13" t="s">
        <v>24</v>
      </c>
      <c r="B13" t="s">
        <v>17</v>
      </c>
      <c r="C13">
        <v>1</v>
      </c>
    </row>
    <row r="14" spans="1:14" x14ac:dyDescent="0.2">
      <c r="A14" t="s">
        <v>18</v>
      </c>
      <c r="B14" t="s">
        <v>19</v>
      </c>
      <c r="C14">
        <v>27</v>
      </c>
    </row>
    <row r="15" spans="1:14" x14ac:dyDescent="0.2">
      <c r="A15" t="s">
        <v>20</v>
      </c>
      <c r="B15" t="s">
        <v>21</v>
      </c>
      <c r="C15" t="s">
        <v>22</v>
      </c>
    </row>
    <row r="16" spans="1:14" x14ac:dyDescent="0.2">
      <c r="A16" t="s">
        <v>23</v>
      </c>
      <c r="B16" t="s">
        <v>33</v>
      </c>
      <c r="C16" t="s">
        <v>42</v>
      </c>
    </row>
    <row r="17" spans="1:8" x14ac:dyDescent="0.2">
      <c r="A17" t="s">
        <v>25</v>
      </c>
      <c r="B17" t="s">
        <v>34</v>
      </c>
      <c r="C17">
        <v>62000</v>
      </c>
    </row>
    <row r="18" spans="1:8" x14ac:dyDescent="0.2">
      <c r="A18" t="s">
        <v>26</v>
      </c>
      <c r="B18" t="s">
        <v>35</v>
      </c>
      <c r="C18" t="s">
        <v>43</v>
      </c>
    </row>
    <row r="19" spans="1:8" x14ac:dyDescent="0.2">
      <c r="A19" t="s">
        <v>27</v>
      </c>
      <c r="B19" t="s">
        <v>36</v>
      </c>
      <c r="C19" t="s">
        <v>44</v>
      </c>
    </row>
    <row r="20" spans="1:8" x14ac:dyDescent="0.2">
      <c r="A20" t="s">
        <v>28</v>
      </c>
      <c r="B20" t="s">
        <v>37</v>
      </c>
      <c r="C20">
        <v>5</v>
      </c>
    </row>
    <row r="21" spans="1:8" x14ac:dyDescent="0.2">
      <c r="A21" t="s">
        <v>29</v>
      </c>
      <c r="B21" t="s">
        <v>38</v>
      </c>
      <c r="C21">
        <v>4800</v>
      </c>
    </row>
    <row r="22" spans="1:8" x14ac:dyDescent="0.2">
      <c r="A22" t="s">
        <v>30</v>
      </c>
      <c r="B22" t="s">
        <v>39</v>
      </c>
      <c r="C22">
        <v>4</v>
      </c>
    </row>
    <row r="23" spans="1:8" x14ac:dyDescent="0.2">
      <c r="A23" t="s">
        <v>31</v>
      </c>
      <c r="B23" t="s">
        <v>40</v>
      </c>
      <c r="C23">
        <v>4</v>
      </c>
    </row>
    <row r="24" spans="1:8" x14ac:dyDescent="0.2">
      <c r="A24" t="s">
        <v>32</v>
      </c>
      <c r="B24" t="s">
        <v>41</v>
      </c>
      <c r="C24">
        <v>4</v>
      </c>
    </row>
    <row r="27" spans="1:8" x14ac:dyDescent="0.2">
      <c r="A27" s="8" t="s">
        <v>46</v>
      </c>
      <c r="B27" s="8"/>
      <c r="C27" s="8"/>
      <c r="D27" s="8"/>
      <c r="E27" s="8"/>
      <c r="F27" s="8"/>
      <c r="G27" s="8"/>
      <c r="H27" s="8"/>
    </row>
    <row r="28" spans="1:8" x14ac:dyDescent="0.2">
      <c r="A28" s="11" t="s">
        <v>47</v>
      </c>
      <c r="B28" s="12"/>
      <c r="C28" s="12"/>
      <c r="D28" s="12"/>
      <c r="E28" s="12"/>
      <c r="F28" s="12"/>
      <c r="G28" s="12"/>
      <c r="H28" s="12"/>
    </row>
    <row r="29" spans="1:8" x14ac:dyDescent="0.2">
      <c r="A29" s="11" t="s">
        <v>48</v>
      </c>
      <c r="B29" s="12"/>
      <c r="C29" s="12"/>
      <c r="D29" s="12"/>
      <c r="E29" s="12"/>
      <c r="F29" s="12"/>
      <c r="G29" s="12"/>
      <c r="H29" s="12"/>
    </row>
    <row r="30" spans="1:8" x14ac:dyDescent="0.2">
      <c r="A30" s="11" t="s">
        <v>49</v>
      </c>
      <c r="B30" s="12"/>
      <c r="C30" s="12"/>
      <c r="D30" s="12"/>
      <c r="E30" s="12"/>
      <c r="F30" s="12"/>
      <c r="G30" s="12"/>
      <c r="H30" s="12"/>
    </row>
    <row r="31" spans="1:8" x14ac:dyDescent="0.2">
      <c r="A31" s="11" t="s">
        <v>50</v>
      </c>
      <c r="B31" s="12"/>
      <c r="C31" s="12"/>
      <c r="D31" s="12"/>
      <c r="E31" s="12"/>
      <c r="F31" s="12"/>
      <c r="G31" s="12"/>
      <c r="H31" s="12"/>
    </row>
    <row r="32" spans="1:8" x14ac:dyDescent="0.2">
      <c r="A32" s="11" t="s">
        <v>51</v>
      </c>
      <c r="B32" s="12"/>
      <c r="C32" s="12"/>
      <c r="D32" s="12"/>
      <c r="E32" s="12"/>
      <c r="F32" s="12"/>
      <c r="G32" s="12"/>
      <c r="H32" s="12"/>
    </row>
    <row r="33" spans="1:8" x14ac:dyDescent="0.2">
      <c r="A33" s="11" t="s">
        <v>52</v>
      </c>
      <c r="B33" s="12"/>
      <c r="C33" s="12"/>
      <c r="D33" s="12"/>
      <c r="E33" s="12"/>
      <c r="F33" s="12"/>
      <c r="G33" s="12"/>
      <c r="H33" s="12"/>
    </row>
    <row r="36" spans="1:8" x14ac:dyDescent="0.2">
      <c r="A36" s="13" t="s">
        <v>53</v>
      </c>
      <c r="B36" s="9"/>
      <c r="C36" s="9"/>
      <c r="D36" s="9"/>
      <c r="E36" s="9"/>
      <c r="F36" s="9"/>
      <c r="G36" s="9"/>
      <c r="H36" s="9"/>
    </row>
    <row r="37" spans="1:8" x14ac:dyDescent="0.2">
      <c r="A37" s="14" t="s">
        <v>54</v>
      </c>
      <c r="B37" s="14"/>
      <c r="C37" s="14"/>
      <c r="D37" s="14"/>
      <c r="E37" s="14"/>
      <c r="F37" s="14"/>
      <c r="G37" s="14"/>
      <c r="H37" s="14"/>
    </row>
    <row r="38" spans="1:8" x14ac:dyDescent="0.2">
      <c r="A38" s="14" t="s">
        <v>55</v>
      </c>
      <c r="B38" s="14"/>
      <c r="C38" s="14"/>
      <c r="D38" s="14"/>
      <c r="E38" s="14"/>
      <c r="F38" s="14"/>
      <c r="G38" s="14"/>
      <c r="H38" s="14"/>
    </row>
    <row r="39" spans="1:8" x14ac:dyDescent="0.2">
      <c r="A39" s="14" t="s">
        <v>56</v>
      </c>
      <c r="B39" s="14"/>
      <c r="C39" s="14"/>
      <c r="D39" s="14"/>
      <c r="E39" s="14"/>
      <c r="F39" s="14"/>
      <c r="G39" s="14"/>
      <c r="H39" s="14"/>
    </row>
    <row r="40" spans="1:8" x14ac:dyDescent="0.2">
      <c r="A40" s="14" t="s">
        <v>57</v>
      </c>
      <c r="B40" s="14"/>
      <c r="C40" s="14"/>
      <c r="D40" s="14"/>
      <c r="E40" s="14"/>
      <c r="F40" s="14"/>
      <c r="G40" s="14"/>
      <c r="H40" s="14"/>
    </row>
  </sheetData>
  <mergeCells count="27">
    <mergeCell ref="A39:H39"/>
    <mergeCell ref="A40:H40"/>
    <mergeCell ref="A31:H31"/>
    <mergeCell ref="A32:H32"/>
    <mergeCell ref="A33:H33"/>
    <mergeCell ref="A36:H36"/>
    <mergeCell ref="A37:H37"/>
    <mergeCell ref="A38:H38"/>
    <mergeCell ref="A27:H27"/>
    <mergeCell ref="A28:H28"/>
    <mergeCell ref="A29:H29"/>
    <mergeCell ref="A30:H30"/>
    <mergeCell ref="C4:N4"/>
    <mergeCell ref="C6:N6"/>
    <mergeCell ref="C7:N7"/>
    <mergeCell ref="C8:N8"/>
    <mergeCell ref="C9:N9"/>
    <mergeCell ref="A3:B3"/>
    <mergeCell ref="A11:B11"/>
    <mergeCell ref="A4:B4"/>
    <mergeCell ref="A5:B5"/>
    <mergeCell ref="A6:B6"/>
    <mergeCell ref="A7:B7"/>
    <mergeCell ref="A8:B8"/>
    <mergeCell ref="A9:B9"/>
    <mergeCell ref="C5:N5"/>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9620F-6A14-414F-AD10-9D84A8E40E5A}">
  <dimension ref="A1:L107"/>
  <sheetViews>
    <sheetView workbookViewId="0">
      <selection activeCell="A106" sqref="A106:F107"/>
    </sheetView>
  </sheetViews>
  <sheetFormatPr baseColWidth="10" defaultRowHeight="16" x14ac:dyDescent="0.2"/>
  <cols>
    <col min="1" max="1" width="12" customWidth="1"/>
    <col min="5" max="5" width="14" customWidth="1"/>
    <col min="6" max="6" width="17.83203125" customWidth="1"/>
    <col min="7" max="7" width="16.1640625" customWidth="1"/>
    <col min="8" max="8" width="24.33203125" customWidth="1"/>
    <col min="9" max="9" width="15.33203125" customWidth="1"/>
    <col min="10" max="10" width="15" customWidth="1"/>
    <col min="11" max="11" width="15.6640625" customWidth="1"/>
    <col min="12" max="12" width="18.1640625" customWidth="1"/>
  </cols>
  <sheetData>
    <row r="1" spans="1:12" x14ac:dyDescent="0.2">
      <c r="A1" s="15" t="s">
        <v>58</v>
      </c>
      <c r="B1" s="7"/>
      <c r="C1" s="7"/>
      <c r="D1" s="7"/>
      <c r="E1" s="7"/>
      <c r="F1" s="7"/>
      <c r="G1" s="7"/>
      <c r="H1" s="7"/>
      <c r="I1" s="7"/>
      <c r="J1" s="7"/>
      <c r="K1" s="7"/>
      <c r="L1" s="7"/>
    </row>
    <row r="3" spans="1:12" x14ac:dyDescent="0.2">
      <c r="A3" s="17" t="s">
        <v>59</v>
      </c>
      <c r="B3" s="17" t="s">
        <v>18</v>
      </c>
      <c r="C3" s="17" t="s">
        <v>20</v>
      </c>
      <c r="D3" s="17" t="s">
        <v>23</v>
      </c>
      <c r="E3" s="17" t="s">
        <v>25</v>
      </c>
      <c r="F3" s="17" t="s">
        <v>26</v>
      </c>
      <c r="G3" s="17" t="s">
        <v>27</v>
      </c>
      <c r="H3" s="17" t="s">
        <v>60</v>
      </c>
      <c r="I3" s="17" t="s">
        <v>29</v>
      </c>
      <c r="J3" s="17" t="s">
        <v>30</v>
      </c>
      <c r="K3" s="17" t="s">
        <v>31</v>
      </c>
      <c r="L3" s="17" t="s">
        <v>61</v>
      </c>
    </row>
    <row r="4" spans="1:12" ht="17" x14ac:dyDescent="0.2">
      <c r="A4" s="18">
        <v>1</v>
      </c>
      <c r="B4" s="18">
        <v>38</v>
      </c>
      <c r="C4" s="20" t="s">
        <v>22</v>
      </c>
      <c r="D4" s="22" t="s">
        <v>64</v>
      </c>
      <c r="E4" s="18">
        <v>91000</v>
      </c>
      <c r="F4" s="22" t="s">
        <v>71</v>
      </c>
      <c r="G4" s="22" t="s">
        <v>72</v>
      </c>
      <c r="H4" s="18">
        <v>5</v>
      </c>
      <c r="I4" s="18">
        <v>5000</v>
      </c>
      <c r="J4" s="18">
        <v>2</v>
      </c>
      <c r="K4" s="18">
        <v>4</v>
      </c>
      <c r="L4" s="18">
        <v>4</v>
      </c>
    </row>
    <row r="5" spans="1:12" ht="17" x14ac:dyDescent="0.2">
      <c r="A5" s="19">
        <v>2</v>
      </c>
      <c r="B5" s="19">
        <v>20</v>
      </c>
      <c r="C5" s="21" t="s">
        <v>22</v>
      </c>
      <c r="D5" s="3" t="s">
        <v>65</v>
      </c>
      <c r="E5" s="19">
        <v>54000</v>
      </c>
      <c r="F5" s="3" t="s">
        <v>43</v>
      </c>
      <c r="G5" s="3" t="s">
        <v>72</v>
      </c>
      <c r="H5" s="19">
        <v>4</v>
      </c>
      <c r="I5" s="19">
        <v>4800</v>
      </c>
      <c r="J5" s="19">
        <v>4</v>
      </c>
      <c r="K5" s="19">
        <v>3</v>
      </c>
      <c r="L5" s="19">
        <v>5</v>
      </c>
    </row>
    <row r="6" spans="1:12" ht="17" x14ac:dyDescent="0.2">
      <c r="A6" s="18">
        <v>3</v>
      </c>
      <c r="B6" s="18">
        <v>18</v>
      </c>
      <c r="C6" s="20" t="s">
        <v>62</v>
      </c>
      <c r="D6" s="22" t="s">
        <v>42</v>
      </c>
      <c r="E6" s="18">
        <v>62000</v>
      </c>
      <c r="F6" s="22" t="s">
        <v>43</v>
      </c>
      <c r="G6" s="22" t="s">
        <v>44</v>
      </c>
      <c r="H6" s="18">
        <v>7</v>
      </c>
      <c r="I6" s="18">
        <v>4700</v>
      </c>
      <c r="J6" s="18">
        <v>4</v>
      </c>
      <c r="K6" s="18">
        <v>4</v>
      </c>
      <c r="L6" s="18">
        <v>4</v>
      </c>
    </row>
    <row r="7" spans="1:12" ht="17" x14ac:dyDescent="0.2">
      <c r="A7" s="19">
        <v>4</v>
      </c>
      <c r="B7" s="19">
        <v>45</v>
      </c>
      <c r="C7" s="21" t="s">
        <v>22</v>
      </c>
      <c r="D7" s="3" t="s">
        <v>66</v>
      </c>
      <c r="E7" s="19">
        <v>100000</v>
      </c>
      <c r="F7" s="3" t="s">
        <v>43</v>
      </c>
      <c r="G7" s="3" t="s">
        <v>72</v>
      </c>
      <c r="H7" s="19">
        <v>4</v>
      </c>
      <c r="I7" s="19">
        <v>7500</v>
      </c>
      <c r="J7" s="19">
        <v>2</v>
      </c>
      <c r="K7" s="19">
        <v>5</v>
      </c>
      <c r="L7" s="19">
        <v>5</v>
      </c>
    </row>
    <row r="8" spans="1:12" ht="17" x14ac:dyDescent="0.2">
      <c r="A8" s="18">
        <v>5</v>
      </c>
      <c r="B8" s="18">
        <v>37</v>
      </c>
      <c r="C8" s="20" t="s">
        <v>62</v>
      </c>
      <c r="D8" s="22" t="s">
        <v>66</v>
      </c>
      <c r="E8" s="18">
        <v>91000</v>
      </c>
      <c r="F8" s="22" t="s">
        <v>43</v>
      </c>
      <c r="G8" s="22" t="s">
        <v>44</v>
      </c>
      <c r="H8" s="18">
        <v>4</v>
      </c>
      <c r="I8" s="18">
        <v>6000</v>
      </c>
      <c r="J8" s="18">
        <v>3</v>
      </c>
      <c r="K8" s="18">
        <v>4</v>
      </c>
      <c r="L8" s="18">
        <v>5</v>
      </c>
    </row>
    <row r="9" spans="1:12" ht="17" x14ac:dyDescent="0.2">
      <c r="A9" s="19">
        <v>6</v>
      </c>
      <c r="B9" s="19">
        <v>30</v>
      </c>
      <c r="C9" s="21" t="s">
        <v>22</v>
      </c>
      <c r="D9" s="3" t="s">
        <v>65</v>
      </c>
      <c r="E9" s="19">
        <v>83000</v>
      </c>
      <c r="F9" s="3" t="s">
        <v>73</v>
      </c>
      <c r="G9" s="3" t="s">
        <v>44</v>
      </c>
      <c r="H9" s="19">
        <v>3</v>
      </c>
      <c r="I9" s="19">
        <v>7100</v>
      </c>
      <c r="J9" s="19">
        <v>2</v>
      </c>
      <c r="K9" s="19">
        <v>4</v>
      </c>
      <c r="L9" s="19">
        <v>5</v>
      </c>
    </row>
    <row r="10" spans="1:12" ht="17" x14ac:dyDescent="0.2">
      <c r="A10" s="18">
        <v>7</v>
      </c>
      <c r="B10" s="18">
        <v>23</v>
      </c>
      <c r="C10" s="20" t="s">
        <v>62</v>
      </c>
      <c r="D10" s="22" t="s">
        <v>66</v>
      </c>
      <c r="E10" s="18">
        <v>75000</v>
      </c>
      <c r="F10" s="22" t="s">
        <v>74</v>
      </c>
      <c r="G10" s="22" t="s">
        <v>72</v>
      </c>
      <c r="H10" s="18">
        <v>4</v>
      </c>
      <c r="I10" s="18">
        <v>5200</v>
      </c>
      <c r="J10" s="18">
        <v>4</v>
      </c>
      <c r="K10" s="18">
        <v>3</v>
      </c>
      <c r="L10" s="18">
        <v>5</v>
      </c>
    </row>
    <row r="11" spans="1:12" ht="17" x14ac:dyDescent="0.2">
      <c r="A11" s="19">
        <v>8</v>
      </c>
      <c r="B11" s="19">
        <v>42</v>
      </c>
      <c r="C11" s="21" t="s">
        <v>22</v>
      </c>
      <c r="D11" s="3" t="s">
        <v>64</v>
      </c>
      <c r="E11" s="19">
        <v>117000</v>
      </c>
      <c r="F11" s="23" t="s">
        <v>75</v>
      </c>
      <c r="G11" s="3" t="s">
        <v>72</v>
      </c>
      <c r="H11" s="19">
        <v>4</v>
      </c>
      <c r="I11" s="19">
        <v>7900</v>
      </c>
      <c r="J11" s="19">
        <v>2</v>
      </c>
      <c r="K11" s="19">
        <v>4</v>
      </c>
      <c r="L11" s="19">
        <v>4</v>
      </c>
    </row>
    <row r="12" spans="1:12" ht="17" x14ac:dyDescent="0.2">
      <c r="A12" s="18">
        <v>9</v>
      </c>
      <c r="B12" s="18">
        <v>33</v>
      </c>
      <c r="C12" s="20" t="s">
        <v>22</v>
      </c>
      <c r="D12" s="22" t="s">
        <v>67</v>
      </c>
      <c r="E12" s="18">
        <v>88000</v>
      </c>
      <c r="F12" s="22" t="s">
        <v>74</v>
      </c>
      <c r="G12" s="22" t="s">
        <v>44</v>
      </c>
      <c r="H12" s="18">
        <v>6</v>
      </c>
      <c r="I12" s="18">
        <v>5900</v>
      </c>
      <c r="J12" s="18">
        <v>2</v>
      </c>
      <c r="K12" s="18">
        <v>4</v>
      </c>
      <c r="L12" s="18">
        <v>5</v>
      </c>
    </row>
    <row r="13" spans="1:12" ht="17" x14ac:dyDescent="0.2">
      <c r="A13" s="19">
        <v>10</v>
      </c>
      <c r="B13" s="19">
        <v>30</v>
      </c>
      <c r="C13" s="21" t="s">
        <v>22</v>
      </c>
      <c r="D13" s="3" t="s">
        <v>67</v>
      </c>
      <c r="E13" s="19">
        <v>73000</v>
      </c>
      <c r="F13" s="3" t="s">
        <v>76</v>
      </c>
      <c r="G13" s="3" t="s">
        <v>44</v>
      </c>
      <c r="H13" s="19">
        <v>3</v>
      </c>
      <c r="I13" s="19">
        <v>5200</v>
      </c>
      <c r="J13" s="19">
        <v>3</v>
      </c>
      <c r="K13" s="19">
        <v>3</v>
      </c>
      <c r="L13" s="19">
        <v>5</v>
      </c>
    </row>
    <row r="14" spans="1:12" ht="17" x14ac:dyDescent="0.2">
      <c r="A14" s="18">
        <v>11</v>
      </c>
      <c r="B14" s="18">
        <v>31</v>
      </c>
      <c r="C14" s="20" t="s">
        <v>62</v>
      </c>
      <c r="D14" s="22" t="s">
        <v>66</v>
      </c>
      <c r="E14" s="18">
        <v>93000</v>
      </c>
      <c r="F14" s="22" t="s">
        <v>71</v>
      </c>
      <c r="G14" s="22" t="s">
        <v>44</v>
      </c>
      <c r="H14" s="18">
        <v>3</v>
      </c>
      <c r="I14" s="18">
        <v>5600</v>
      </c>
      <c r="J14" s="18">
        <v>4</v>
      </c>
      <c r="K14" s="18">
        <v>5</v>
      </c>
      <c r="L14" s="18">
        <v>5</v>
      </c>
    </row>
    <row r="15" spans="1:12" ht="17" x14ac:dyDescent="0.2">
      <c r="A15" s="19">
        <v>12</v>
      </c>
      <c r="B15" s="19">
        <v>35</v>
      </c>
      <c r="C15" s="21" t="s">
        <v>62</v>
      </c>
      <c r="D15" s="23" t="s">
        <v>68</v>
      </c>
      <c r="E15" s="19">
        <v>89000</v>
      </c>
      <c r="F15" s="3" t="s">
        <v>71</v>
      </c>
      <c r="G15" s="3" t="s">
        <v>72</v>
      </c>
      <c r="H15" s="19">
        <v>3</v>
      </c>
      <c r="I15" s="19">
        <v>6300</v>
      </c>
      <c r="J15" s="19">
        <v>2</v>
      </c>
      <c r="K15" s="19">
        <v>3</v>
      </c>
      <c r="L15" s="19">
        <v>5</v>
      </c>
    </row>
    <row r="16" spans="1:12" ht="17" x14ac:dyDescent="0.2">
      <c r="A16" s="18">
        <v>13</v>
      </c>
      <c r="B16" s="18">
        <v>42</v>
      </c>
      <c r="C16" s="20" t="s">
        <v>22</v>
      </c>
      <c r="D16" s="22" t="s">
        <v>67</v>
      </c>
      <c r="E16" s="18">
        <v>110000</v>
      </c>
      <c r="F16" s="22" t="s">
        <v>76</v>
      </c>
      <c r="G16" s="22" t="s">
        <v>72</v>
      </c>
      <c r="H16" s="18">
        <v>3</v>
      </c>
      <c r="I16" s="18">
        <v>7300</v>
      </c>
      <c r="J16" s="18">
        <v>1</v>
      </c>
      <c r="K16" s="18">
        <v>4</v>
      </c>
      <c r="L16" s="18">
        <v>4</v>
      </c>
    </row>
    <row r="17" spans="1:12" ht="17" x14ac:dyDescent="0.2">
      <c r="A17" s="19">
        <v>14</v>
      </c>
      <c r="B17" s="19">
        <v>42</v>
      </c>
      <c r="C17" s="21" t="s">
        <v>62</v>
      </c>
      <c r="D17" s="3" t="s">
        <v>67</v>
      </c>
      <c r="E17" s="19">
        <v>109000</v>
      </c>
      <c r="F17" s="3" t="s">
        <v>71</v>
      </c>
      <c r="G17" s="3" t="s">
        <v>44</v>
      </c>
      <c r="H17" s="19">
        <v>5</v>
      </c>
      <c r="I17" s="19">
        <v>7700</v>
      </c>
      <c r="J17" s="19">
        <v>2</v>
      </c>
      <c r="K17" s="19">
        <v>5</v>
      </c>
      <c r="L17" s="19">
        <v>5</v>
      </c>
    </row>
    <row r="18" spans="1:12" ht="17" x14ac:dyDescent="0.2">
      <c r="A18" s="18">
        <v>15</v>
      </c>
      <c r="B18" s="18">
        <v>25</v>
      </c>
      <c r="C18" s="20" t="s">
        <v>62</v>
      </c>
      <c r="D18" s="22" t="s">
        <v>67</v>
      </c>
      <c r="E18" s="18">
        <v>62000</v>
      </c>
      <c r="F18" s="22" t="s">
        <v>74</v>
      </c>
      <c r="G18" s="22" t="s">
        <v>72</v>
      </c>
      <c r="H18" s="18">
        <v>4</v>
      </c>
      <c r="I18" s="18">
        <v>3700</v>
      </c>
      <c r="J18" s="18">
        <v>4</v>
      </c>
      <c r="K18" s="24"/>
      <c r="L18" s="18">
        <v>5</v>
      </c>
    </row>
    <row r="19" spans="1:12" ht="17" x14ac:dyDescent="0.2">
      <c r="A19" s="19">
        <v>16</v>
      </c>
      <c r="B19" s="19">
        <v>35</v>
      </c>
      <c r="C19" s="21" t="s">
        <v>22</v>
      </c>
      <c r="D19" s="3" t="s">
        <v>65</v>
      </c>
      <c r="E19" s="19">
        <v>100000</v>
      </c>
      <c r="F19" s="3" t="s">
        <v>73</v>
      </c>
      <c r="G19" s="3" t="s">
        <v>44</v>
      </c>
      <c r="H19" s="19">
        <v>5</v>
      </c>
      <c r="I19" s="19">
        <v>7000</v>
      </c>
      <c r="J19" s="19">
        <v>2</v>
      </c>
      <c r="K19" s="19">
        <v>4</v>
      </c>
      <c r="L19" s="19">
        <v>5</v>
      </c>
    </row>
    <row r="20" spans="1:12" ht="17" x14ac:dyDescent="0.2">
      <c r="A20" s="18">
        <v>17</v>
      </c>
      <c r="B20" s="18">
        <v>39</v>
      </c>
      <c r="C20" s="20" t="s">
        <v>62</v>
      </c>
      <c r="D20" s="22" t="s">
        <v>66</v>
      </c>
      <c r="E20" s="18">
        <v>105000</v>
      </c>
      <c r="F20" s="22" t="s">
        <v>76</v>
      </c>
      <c r="G20" s="22" t="s">
        <v>44</v>
      </c>
      <c r="H20" s="18">
        <v>4</v>
      </c>
      <c r="I20" s="18">
        <v>6800</v>
      </c>
      <c r="J20" s="18">
        <v>2</v>
      </c>
      <c r="K20" s="18">
        <v>4</v>
      </c>
      <c r="L20" s="18">
        <v>5</v>
      </c>
    </row>
    <row r="21" spans="1:12" ht="17" x14ac:dyDescent="0.2">
      <c r="A21" s="19">
        <v>18</v>
      </c>
      <c r="B21" s="19">
        <v>18</v>
      </c>
      <c r="C21" s="21" t="s">
        <v>22</v>
      </c>
      <c r="D21" s="3" t="s">
        <v>65</v>
      </c>
      <c r="E21" s="19">
        <v>57000</v>
      </c>
      <c r="F21" s="3" t="s">
        <v>74</v>
      </c>
      <c r="G21" s="3" t="s">
        <v>44</v>
      </c>
      <c r="H21" s="19">
        <v>6</v>
      </c>
      <c r="I21" s="19">
        <v>3500</v>
      </c>
      <c r="J21" s="19">
        <v>4</v>
      </c>
      <c r="K21" s="19">
        <v>3</v>
      </c>
      <c r="L21" s="19">
        <v>4</v>
      </c>
    </row>
    <row r="22" spans="1:12" ht="17" x14ac:dyDescent="0.2">
      <c r="A22" s="18">
        <v>19</v>
      </c>
      <c r="B22" s="18">
        <v>22</v>
      </c>
      <c r="C22" s="20" t="s">
        <v>62</v>
      </c>
      <c r="D22" s="22" t="s">
        <v>67</v>
      </c>
      <c r="E22" s="18">
        <v>72000</v>
      </c>
      <c r="F22" s="22" t="s">
        <v>43</v>
      </c>
      <c r="G22" s="22" t="s">
        <v>72</v>
      </c>
      <c r="H22" s="18">
        <v>6</v>
      </c>
      <c r="I22" s="18">
        <v>5200</v>
      </c>
      <c r="J22" s="18">
        <v>4</v>
      </c>
      <c r="K22" s="18">
        <v>4</v>
      </c>
      <c r="L22" s="18">
        <v>5</v>
      </c>
    </row>
    <row r="23" spans="1:12" ht="17" x14ac:dyDescent="0.2">
      <c r="A23" s="19">
        <v>20</v>
      </c>
      <c r="B23" s="19">
        <v>31</v>
      </c>
      <c r="C23" s="21" t="s">
        <v>22</v>
      </c>
      <c r="D23" s="3" t="s">
        <v>64</v>
      </c>
      <c r="E23" s="19">
        <v>93000</v>
      </c>
      <c r="F23" s="3" t="s">
        <v>73</v>
      </c>
      <c r="G23" s="23" t="s">
        <v>77</v>
      </c>
      <c r="H23" s="19">
        <v>1</v>
      </c>
      <c r="I23" s="19">
        <v>7800</v>
      </c>
      <c r="J23" s="19">
        <v>3</v>
      </c>
      <c r="K23" s="19">
        <v>3</v>
      </c>
      <c r="L23" s="19">
        <v>4</v>
      </c>
    </row>
    <row r="24" spans="1:12" ht="17" x14ac:dyDescent="0.2">
      <c r="A24" s="18">
        <v>21</v>
      </c>
      <c r="B24" s="18">
        <v>24</v>
      </c>
      <c r="C24" s="20" t="s">
        <v>62</v>
      </c>
      <c r="D24" s="22" t="s">
        <v>42</v>
      </c>
      <c r="E24" s="18">
        <v>65000</v>
      </c>
      <c r="F24" s="22" t="s">
        <v>43</v>
      </c>
      <c r="G24" s="22" t="s">
        <v>44</v>
      </c>
      <c r="H24" s="18">
        <v>4</v>
      </c>
      <c r="I24" s="18">
        <v>6300</v>
      </c>
      <c r="J24" s="18">
        <v>3</v>
      </c>
      <c r="K24" s="18">
        <v>4</v>
      </c>
      <c r="L24" s="18">
        <v>4</v>
      </c>
    </row>
    <row r="25" spans="1:12" ht="17" x14ac:dyDescent="0.2">
      <c r="A25" s="19">
        <v>22</v>
      </c>
      <c r="B25" s="19">
        <v>35</v>
      </c>
      <c r="C25" s="21" t="s">
        <v>62</v>
      </c>
      <c r="D25" s="3" t="s">
        <v>67</v>
      </c>
      <c r="E25" s="19">
        <v>102000</v>
      </c>
      <c r="F25" s="3" t="s">
        <v>43</v>
      </c>
      <c r="G25" s="3" t="s">
        <v>44</v>
      </c>
      <c r="H25" s="19">
        <v>3</v>
      </c>
      <c r="I25" s="19">
        <v>7200</v>
      </c>
      <c r="J25" s="19">
        <v>3</v>
      </c>
      <c r="K25" s="19">
        <v>4</v>
      </c>
      <c r="L25" s="19">
        <v>5</v>
      </c>
    </row>
    <row r="26" spans="1:12" ht="17" x14ac:dyDescent="0.2">
      <c r="A26" s="18">
        <v>23</v>
      </c>
      <c r="B26" s="18">
        <v>18</v>
      </c>
      <c r="C26" s="20" t="s">
        <v>63</v>
      </c>
      <c r="D26" s="22" t="s">
        <v>66</v>
      </c>
      <c r="E26" s="18">
        <v>76000</v>
      </c>
      <c r="F26" s="22" t="s">
        <v>73</v>
      </c>
      <c r="G26" s="22" t="s">
        <v>44</v>
      </c>
      <c r="H26" s="18">
        <v>7</v>
      </c>
      <c r="I26" s="18">
        <v>7500</v>
      </c>
      <c r="J26" s="18">
        <v>5</v>
      </c>
      <c r="K26" s="18">
        <v>4</v>
      </c>
      <c r="L26" s="18">
        <v>5</v>
      </c>
    </row>
    <row r="27" spans="1:12" ht="17" x14ac:dyDescent="0.2">
      <c r="A27" s="19">
        <v>24</v>
      </c>
      <c r="B27" s="19">
        <v>27</v>
      </c>
      <c r="C27" s="21" t="s">
        <v>22</v>
      </c>
      <c r="D27" s="3" t="s">
        <v>42</v>
      </c>
      <c r="E27" s="19">
        <v>89000</v>
      </c>
      <c r="F27" s="3" t="s">
        <v>74</v>
      </c>
      <c r="G27" s="3" t="s">
        <v>72</v>
      </c>
      <c r="H27" s="19">
        <v>3</v>
      </c>
      <c r="I27" s="19">
        <v>5400</v>
      </c>
      <c r="J27" s="19">
        <v>3</v>
      </c>
      <c r="K27" s="19">
        <v>3</v>
      </c>
      <c r="L27" s="19">
        <v>4</v>
      </c>
    </row>
    <row r="28" spans="1:12" ht="17" x14ac:dyDescent="0.2">
      <c r="A28" s="18">
        <v>25</v>
      </c>
      <c r="B28" s="18">
        <v>34</v>
      </c>
      <c r="C28" s="20" t="s">
        <v>22</v>
      </c>
      <c r="D28" s="22" t="s">
        <v>42</v>
      </c>
      <c r="E28" s="18">
        <v>97000</v>
      </c>
      <c r="F28" s="22" t="s">
        <v>71</v>
      </c>
      <c r="G28" s="22" t="s">
        <v>72</v>
      </c>
      <c r="H28" s="18">
        <v>2</v>
      </c>
      <c r="I28" s="18">
        <v>6000</v>
      </c>
      <c r="J28" s="18">
        <v>2</v>
      </c>
      <c r="K28" s="18">
        <v>3</v>
      </c>
      <c r="L28" s="18">
        <v>4</v>
      </c>
    </row>
    <row r="29" spans="1:12" ht="17" x14ac:dyDescent="0.2">
      <c r="A29" s="19">
        <v>26</v>
      </c>
      <c r="B29" s="19">
        <v>19</v>
      </c>
      <c r="C29" s="21" t="s">
        <v>62</v>
      </c>
      <c r="D29" s="3" t="s">
        <v>66</v>
      </c>
      <c r="E29" s="19">
        <v>71000</v>
      </c>
      <c r="F29" s="3" t="s">
        <v>73</v>
      </c>
      <c r="G29" s="3" t="s">
        <v>44</v>
      </c>
      <c r="H29" s="19">
        <v>4</v>
      </c>
      <c r="I29" s="19">
        <v>5900</v>
      </c>
      <c r="J29" s="19">
        <v>4</v>
      </c>
      <c r="K29" s="19">
        <v>3</v>
      </c>
      <c r="L29" s="19">
        <v>4</v>
      </c>
    </row>
    <row r="30" spans="1:12" ht="17" x14ac:dyDescent="0.2">
      <c r="A30" s="18">
        <v>27</v>
      </c>
      <c r="B30" s="18">
        <v>22</v>
      </c>
      <c r="C30" s="20" t="s">
        <v>62</v>
      </c>
      <c r="D30" s="22" t="s">
        <v>66</v>
      </c>
      <c r="E30" s="18">
        <v>68000</v>
      </c>
      <c r="F30" s="22" t="s">
        <v>74</v>
      </c>
      <c r="G30" s="22" t="s">
        <v>72</v>
      </c>
      <c r="H30" s="18">
        <v>2</v>
      </c>
      <c r="I30" s="18">
        <v>4400</v>
      </c>
      <c r="J30" s="18">
        <v>4</v>
      </c>
      <c r="K30" s="18">
        <v>2</v>
      </c>
      <c r="L30" s="18">
        <v>3</v>
      </c>
    </row>
    <row r="31" spans="1:12" ht="17" x14ac:dyDescent="0.2">
      <c r="A31" s="19">
        <v>28</v>
      </c>
      <c r="B31" s="19">
        <v>24</v>
      </c>
      <c r="C31" s="21" t="s">
        <v>22</v>
      </c>
      <c r="D31" s="3" t="s">
        <v>42</v>
      </c>
      <c r="E31" s="19">
        <v>71000</v>
      </c>
      <c r="F31" s="3" t="s">
        <v>76</v>
      </c>
      <c r="G31" s="3" t="s">
        <v>72</v>
      </c>
      <c r="H31" s="19">
        <v>4</v>
      </c>
      <c r="I31" s="19">
        <v>5700</v>
      </c>
      <c r="J31" s="19">
        <v>4</v>
      </c>
      <c r="K31" s="19">
        <v>3</v>
      </c>
      <c r="L31" s="19">
        <v>5</v>
      </c>
    </row>
    <row r="32" spans="1:12" ht="17" x14ac:dyDescent="0.2">
      <c r="A32" s="18">
        <v>29</v>
      </c>
      <c r="B32" s="18">
        <v>43</v>
      </c>
      <c r="C32" s="20" t="s">
        <v>62</v>
      </c>
      <c r="D32" s="22" t="s">
        <v>42</v>
      </c>
      <c r="E32" s="18">
        <v>120000</v>
      </c>
      <c r="F32" s="22" t="s">
        <v>71</v>
      </c>
      <c r="G32" s="22" t="s">
        <v>72</v>
      </c>
      <c r="H32" s="18">
        <v>1</v>
      </c>
      <c r="I32" s="18">
        <v>6600</v>
      </c>
      <c r="J32" s="24"/>
      <c r="K32" s="18">
        <v>3</v>
      </c>
      <c r="L32" s="18">
        <v>5</v>
      </c>
    </row>
    <row r="33" spans="1:12" ht="17" x14ac:dyDescent="0.2">
      <c r="A33" s="19">
        <v>30</v>
      </c>
      <c r="B33" s="19">
        <v>41</v>
      </c>
      <c r="C33" s="21" t="s">
        <v>62</v>
      </c>
      <c r="D33" s="3" t="s">
        <v>66</v>
      </c>
      <c r="E33" s="19">
        <v>112000</v>
      </c>
      <c r="F33" s="3" t="s">
        <v>71</v>
      </c>
      <c r="G33" s="3" t="s">
        <v>72</v>
      </c>
      <c r="H33" s="19">
        <v>5</v>
      </c>
      <c r="I33" s="19">
        <v>6700</v>
      </c>
      <c r="J33" s="19">
        <v>1</v>
      </c>
      <c r="K33" s="19">
        <v>4</v>
      </c>
      <c r="L33" s="19">
        <v>4</v>
      </c>
    </row>
    <row r="34" spans="1:12" ht="17" x14ac:dyDescent="0.2">
      <c r="A34" s="18">
        <v>31</v>
      </c>
      <c r="B34" s="18">
        <v>45</v>
      </c>
      <c r="C34" s="20" t="s">
        <v>22</v>
      </c>
      <c r="D34" s="22" t="s">
        <v>65</v>
      </c>
      <c r="E34" s="18">
        <v>125000</v>
      </c>
      <c r="F34" s="22" t="s">
        <v>74</v>
      </c>
      <c r="G34" s="22" t="s">
        <v>44</v>
      </c>
      <c r="H34" s="18">
        <v>4</v>
      </c>
      <c r="I34" s="18">
        <v>6800</v>
      </c>
      <c r="J34" s="18">
        <v>1</v>
      </c>
      <c r="K34" s="18">
        <v>5</v>
      </c>
      <c r="L34" s="18">
        <v>5</v>
      </c>
    </row>
    <row r="35" spans="1:12" ht="17" x14ac:dyDescent="0.2">
      <c r="A35" s="19">
        <v>32</v>
      </c>
      <c r="B35" s="19">
        <v>35</v>
      </c>
      <c r="C35" s="21" t="s">
        <v>62</v>
      </c>
      <c r="D35" s="3" t="s">
        <v>65</v>
      </c>
      <c r="E35" s="19">
        <v>84000</v>
      </c>
      <c r="F35" s="3" t="s">
        <v>74</v>
      </c>
      <c r="G35" s="3" t="s">
        <v>72</v>
      </c>
      <c r="H35" s="19">
        <v>4</v>
      </c>
      <c r="I35" s="19">
        <v>5900</v>
      </c>
      <c r="J35" s="19">
        <v>2</v>
      </c>
      <c r="K35" s="19">
        <v>4</v>
      </c>
      <c r="L35" s="19">
        <v>4</v>
      </c>
    </row>
    <row r="36" spans="1:12" ht="17" x14ac:dyDescent="0.2">
      <c r="A36" s="18">
        <v>33</v>
      </c>
      <c r="B36" s="18">
        <v>22</v>
      </c>
      <c r="C36" s="20" t="s">
        <v>22</v>
      </c>
      <c r="D36" s="22" t="s">
        <v>42</v>
      </c>
      <c r="E36" s="18">
        <v>68000</v>
      </c>
      <c r="F36" s="22" t="s">
        <v>71</v>
      </c>
      <c r="G36" s="22" t="s">
        <v>72</v>
      </c>
      <c r="H36" s="18">
        <v>4</v>
      </c>
      <c r="I36" s="18">
        <v>4500</v>
      </c>
      <c r="J36" s="18">
        <v>4</v>
      </c>
      <c r="K36" s="18">
        <v>4</v>
      </c>
      <c r="L36" s="18">
        <v>5</v>
      </c>
    </row>
    <row r="37" spans="1:12" ht="17" x14ac:dyDescent="0.2">
      <c r="A37" s="19">
        <v>34</v>
      </c>
      <c r="B37" s="19">
        <v>29</v>
      </c>
      <c r="C37" s="21" t="s">
        <v>62</v>
      </c>
      <c r="D37" s="3" t="s">
        <v>67</v>
      </c>
      <c r="E37" s="19">
        <v>80000</v>
      </c>
      <c r="F37" s="3" t="s">
        <v>43</v>
      </c>
      <c r="G37" s="3" t="s">
        <v>72</v>
      </c>
      <c r="H37" s="19">
        <v>4</v>
      </c>
      <c r="I37" s="19">
        <v>5800</v>
      </c>
      <c r="J37" s="19">
        <v>4</v>
      </c>
      <c r="K37" s="19">
        <v>4</v>
      </c>
      <c r="L37" s="19">
        <v>5</v>
      </c>
    </row>
    <row r="38" spans="1:12" ht="17" x14ac:dyDescent="0.2">
      <c r="A38" s="18">
        <v>35</v>
      </c>
      <c r="B38" s="18">
        <v>18</v>
      </c>
      <c r="C38" s="20" t="s">
        <v>22</v>
      </c>
      <c r="D38" s="22" t="s">
        <v>67</v>
      </c>
      <c r="E38" s="18">
        <v>72000</v>
      </c>
      <c r="F38" s="22" t="s">
        <v>73</v>
      </c>
      <c r="G38" s="22" t="s">
        <v>72</v>
      </c>
      <c r="H38" s="18">
        <v>4</v>
      </c>
      <c r="I38" s="18">
        <v>6300</v>
      </c>
      <c r="J38" s="18">
        <v>5</v>
      </c>
      <c r="K38" s="18">
        <v>4</v>
      </c>
      <c r="L38" s="18">
        <v>5</v>
      </c>
    </row>
    <row r="39" spans="1:12" ht="17" x14ac:dyDescent="0.2">
      <c r="A39" s="19">
        <v>36</v>
      </c>
      <c r="B39" s="19">
        <v>21</v>
      </c>
      <c r="C39" s="21" t="s">
        <v>22</v>
      </c>
      <c r="D39" s="3" t="s">
        <v>42</v>
      </c>
      <c r="E39" s="19">
        <v>69000</v>
      </c>
      <c r="F39" s="3" t="s">
        <v>76</v>
      </c>
      <c r="G39" s="3" t="s">
        <v>72</v>
      </c>
      <c r="H39" s="19">
        <v>3</v>
      </c>
      <c r="I39" s="19">
        <v>5400</v>
      </c>
      <c r="J39" s="19">
        <v>3</v>
      </c>
      <c r="K39" s="19">
        <v>3</v>
      </c>
      <c r="L39" s="19">
        <v>4</v>
      </c>
    </row>
    <row r="40" spans="1:12" ht="17" x14ac:dyDescent="0.2">
      <c r="A40" s="18">
        <v>37</v>
      </c>
      <c r="B40" s="18">
        <v>39</v>
      </c>
      <c r="C40" s="20" t="s">
        <v>22</v>
      </c>
      <c r="D40" s="23" t="s">
        <v>69</v>
      </c>
      <c r="E40" s="18">
        <v>90000</v>
      </c>
      <c r="F40" s="22" t="s">
        <v>43</v>
      </c>
      <c r="G40" s="22" t="s">
        <v>44</v>
      </c>
      <c r="H40" s="18">
        <v>5</v>
      </c>
      <c r="I40" s="18">
        <v>7500</v>
      </c>
      <c r="J40" s="18">
        <v>3</v>
      </c>
      <c r="K40" s="18">
        <v>4</v>
      </c>
      <c r="L40" s="18">
        <v>5</v>
      </c>
    </row>
    <row r="41" spans="1:12" ht="17" x14ac:dyDescent="0.2">
      <c r="A41" s="19">
        <v>38</v>
      </c>
      <c r="B41" s="19">
        <v>21</v>
      </c>
      <c r="C41" s="21" t="s">
        <v>62</v>
      </c>
      <c r="D41" s="3" t="s">
        <v>66</v>
      </c>
      <c r="E41" s="19">
        <v>75000</v>
      </c>
      <c r="F41" s="3" t="s">
        <v>43</v>
      </c>
      <c r="G41" s="3" t="s">
        <v>44</v>
      </c>
      <c r="H41" s="19">
        <v>5</v>
      </c>
      <c r="I41" s="19">
        <v>6600</v>
      </c>
      <c r="J41" s="19">
        <v>5</v>
      </c>
      <c r="K41" s="19">
        <v>3</v>
      </c>
      <c r="L41" s="19">
        <v>5</v>
      </c>
    </row>
    <row r="42" spans="1:12" ht="17" x14ac:dyDescent="0.2">
      <c r="A42" s="18">
        <v>39</v>
      </c>
      <c r="B42" s="18">
        <v>34</v>
      </c>
      <c r="C42" s="20" t="s">
        <v>22</v>
      </c>
      <c r="D42" s="22" t="s">
        <v>67</v>
      </c>
      <c r="E42" s="18">
        <v>81000</v>
      </c>
      <c r="F42" s="22" t="s">
        <v>71</v>
      </c>
      <c r="G42" s="22" t="s">
        <v>72</v>
      </c>
      <c r="H42" s="18">
        <v>2</v>
      </c>
      <c r="I42" s="18">
        <v>4900</v>
      </c>
      <c r="J42" s="18">
        <v>2</v>
      </c>
      <c r="K42" s="18">
        <v>2</v>
      </c>
      <c r="L42" s="18">
        <v>3</v>
      </c>
    </row>
    <row r="43" spans="1:12" ht="17" x14ac:dyDescent="0.2">
      <c r="A43" s="19">
        <v>40</v>
      </c>
      <c r="B43" s="19">
        <v>20</v>
      </c>
      <c r="C43" s="21" t="s">
        <v>63</v>
      </c>
      <c r="D43" s="3" t="s">
        <v>67</v>
      </c>
      <c r="E43" s="19">
        <v>70000</v>
      </c>
      <c r="F43" s="3" t="s">
        <v>43</v>
      </c>
      <c r="G43" s="3" t="s">
        <v>72</v>
      </c>
      <c r="H43" s="19">
        <v>5</v>
      </c>
      <c r="I43" s="19">
        <v>5300</v>
      </c>
      <c r="J43" s="19">
        <v>4</v>
      </c>
      <c r="K43" s="19">
        <v>3</v>
      </c>
      <c r="L43" s="19">
        <v>4</v>
      </c>
    </row>
    <row r="44" spans="1:12" ht="17" x14ac:dyDescent="0.2">
      <c r="A44" s="18">
        <v>41</v>
      </c>
      <c r="B44" s="18">
        <v>40</v>
      </c>
      <c r="C44" s="20" t="s">
        <v>22</v>
      </c>
      <c r="D44" s="22" t="s">
        <v>42</v>
      </c>
      <c r="E44" s="18">
        <v>102000</v>
      </c>
      <c r="F44" s="22" t="s">
        <v>76</v>
      </c>
      <c r="G44" s="22" t="s">
        <v>72</v>
      </c>
      <c r="H44" s="18">
        <v>4</v>
      </c>
      <c r="I44" s="18">
        <v>6600</v>
      </c>
      <c r="J44" s="18">
        <v>2</v>
      </c>
      <c r="K44" s="18">
        <v>4</v>
      </c>
      <c r="L44" s="18">
        <v>4</v>
      </c>
    </row>
    <row r="45" spans="1:12" ht="17" x14ac:dyDescent="0.2">
      <c r="A45" s="19">
        <v>42</v>
      </c>
      <c r="B45" s="19">
        <v>44</v>
      </c>
      <c r="C45" s="21" t="s">
        <v>22</v>
      </c>
      <c r="D45" s="3" t="s">
        <v>66</v>
      </c>
      <c r="E45" s="19">
        <v>111000</v>
      </c>
      <c r="F45" s="3" t="s">
        <v>43</v>
      </c>
      <c r="G45" s="3" t="s">
        <v>72</v>
      </c>
      <c r="H45" s="19">
        <v>3</v>
      </c>
      <c r="I45" s="19">
        <v>8000</v>
      </c>
      <c r="J45" s="19">
        <v>2</v>
      </c>
      <c r="K45" s="19">
        <v>4</v>
      </c>
      <c r="L45" s="19">
        <v>5</v>
      </c>
    </row>
    <row r="46" spans="1:12" ht="17" x14ac:dyDescent="0.2">
      <c r="A46" s="18">
        <v>43</v>
      </c>
      <c r="B46" s="18">
        <v>43</v>
      </c>
      <c r="C46" s="20" t="s">
        <v>62</v>
      </c>
      <c r="D46" s="22" t="s">
        <v>64</v>
      </c>
      <c r="E46" s="18">
        <v>98000</v>
      </c>
      <c r="F46" s="22" t="s">
        <v>74</v>
      </c>
      <c r="G46" s="22" t="s">
        <v>72</v>
      </c>
      <c r="H46" s="18">
        <v>3</v>
      </c>
      <c r="I46" s="18">
        <v>5100</v>
      </c>
      <c r="J46" s="18">
        <v>2</v>
      </c>
      <c r="K46" s="18">
        <v>4</v>
      </c>
      <c r="L46" s="18">
        <v>5</v>
      </c>
    </row>
    <row r="47" spans="1:12" ht="17" x14ac:dyDescent="0.2">
      <c r="A47" s="19">
        <v>44</v>
      </c>
      <c r="B47" s="19">
        <v>25</v>
      </c>
      <c r="C47" s="21" t="s">
        <v>62</v>
      </c>
      <c r="D47" s="3" t="s">
        <v>42</v>
      </c>
      <c r="E47" s="19">
        <v>63000</v>
      </c>
      <c r="F47" s="23" t="s">
        <v>78</v>
      </c>
      <c r="G47" s="3" t="s">
        <v>44</v>
      </c>
      <c r="H47" s="19">
        <v>5</v>
      </c>
      <c r="I47" s="19">
        <v>4600</v>
      </c>
      <c r="J47" s="19">
        <v>3</v>
      </c>
      <c r="K47" s="19">
        <v>4</v>
      </c>
      <c r="L47" s="19">
        <v>5</v>
      </c>
    </row>
    <row r="48" spans="1:12" ht="17" x14ac:dyDescent="0.2">
      <c r="A48" s="18">
        <v>45</v>
      </c>
      <c r="B48" s="18">
        <v>30</v>
      </c>
      <c r="C48" s="20" t="s">
        <v>22</v>
      </c>
      <c r="D48" s="22" t="s">
        <v>66</v>
      </c>
      <c r="E48" s="18">
        <v>93000</v>
      </c>
      <c r="F48" s="22" t="s">
        <v>71</v>
      </c>
      <c r="G48" s="22" t="s">
        <v>72</v>
      </c>
      <c r="H48" s="18">
        <v>5</v>
      </c>
      <c r="I48" s="18">
        <v>6700</v>
      </c>
      <c r="J48" s="18">
        <v>3</v>
      </c>
      <c r="K48" s="18">
        <v>4</v>
      </c>
      <c r="L48" s="18">
        <v>4</v>
      </c>
    </row>
    <row r="49" spans="1:12" ht="17" x14ac:dyDescent="0.2">
      <c r="A49" s="19">
        <v>46</v>
      </c>
      <c r="B49" s="19">
        <v>43</v>
      </c>
      <c r="C49" s="21" t="s">
        <v>63</v>
      </c>
      <c r="D49" s="3" t="s">
        <v>65</v>
      </c>
      <c r="E49" s="19">
        <v>96000</v>
      </c>
      <c r="F49" s="3" t="s">
        <v>76</v>
      </c>
      <c r="G49" s="3" t="s">
        <v>72</v>
      </c>
      <c r="H49" s="19">
        <v>3</v>
      </c>
      <c r="I49" s="19">
        <v>5900</v>
      </c>
      <c r="J49" s="19">
        <v>2</v>
      </c>
      <c r="K49" s="19">
        <v>3</v>
      </c>
      <c r="L49" s="19">
        <v>5</v>
      </c>
    </row>
    <row r="50" spans="1:12" ht="17" x14ac:dyDescent="0.2">
      <c r="A50" s="18">
        <v>47</v>
      </c>
      <c r="B50" s="18">
        <v>32</v>
      </c>
      <c r="C50" s="20" t="s">
        <v>62</v>
      </c>
      <c r="D50" s="22" t="s">
        <v>64</v>
      </c>
      <c r="E50" s="18">
        <v>89000</v>
      </c>
      <c r="F50" s="22" t="s">
        <v>76</v>
      </c>
      <c r="G50" s="22" t="s">
        <v>72</v>
      </c>
      <c r="H50" s="18">
        <v>4</v>
      </c>
      <c r="I50" s="18">
        <v>6500</v>
      </c>
      <c r="J50" s="18">
        <v>3</v>
      </c>
      <c r="K50" s="18">
        <v>3</v>
      </c>
      <c r="L50" s="18">
        <v>4</v>
      </c>
    </row>
    <row r="51" spans="1:12" ht="17" x14ac:dyDescent="0.2">
      <c r="A51" s="19">
        <v>48</v>
      </c>
      <c r="B51" s="19">
        <v>42</v>
      </c>
      <c r="C51" s="21" t="s">
        <v>22</v>
      </c>
      <c r="D51" s="3" t="s">
        <v>65</v>
      </c>
      <c r="E51" s="19">
        <v>118000</v>
      </c>
      <c r="F51" s="3" t="s">
        <v>43</v>
      </c>
      <c r="G51" s="3" t="s">
        <v>72</v>
      </c>
      <c r="H51" s="19">
        <v>4</v>
      </c>
      <c r="I51" s="19">
        <v>8400</v>
      </c>
      <c r="J51" s="19">
        <v>2</v>
      </c>
      <c r="K51" s="19">
        <v>4</v>
      </c>
      <c r="L51" s="19">
        <v>4</v>
      </c>
    </row>
    <row r="52" spans="1:12" ht="17" x14ac:dyDescent="0.2">
      <c r="A52" s="18">
        <v>49</v>
      </c>
      <c r="B52" s="18">
        <v>28</v>
      </c>
      <c r="C52" s="20" t="s">
        <v>22</v>
      </c>
      <c r="D52" s="22" t="s">
        <v>65</v>
      </c>
      <c r="E52" s="18">
        <v>72000</v>
      </c>
      <c r="F52" s="22" t="s">
        <v>76</v>
      </c>
      <c r="G52" s="22" t="s">
        <v>44</v>
      </c>
      <c r="H52" s="18">
        <v>6</v>
      </c>
      <c r="I52" s="18">
        <v>4700</v>
      </c>
      <c r="J52" s="18">
        <v>3</v>
      </c>
      <c r="K52" s="18">
        <v>3</v>
      </c>
      <c r="L52" s="18">
        <v>4</v>
      </c>
    </row>
    <row r="53" spans="1:12" ht="17" x14ac:dyDescent="0.2">
      <c r="A53" s="19">
        <v>50</v>
      </c>
      <c r="B53" s="19">
        <v>32</v>
      </c>
      <c r="C53" s="21" t="s">
        <v>22</v>
      </c>
      <c r="D53" s="3" t="s">
        <v>42</v>
      </c>
      <c r="E53" s="19">
        <v>87000</v>
      </c>
      <c r="F53" s="3" t="s">
        <v>76</v>
      </c>
      <c r="G53" s="3" t="s">
        <v>72</v>
      </c>
      <c r="H53" s="19">
        <v>5</v>
      </c>
      <c r="I53" s="19">
        <v>6500</v>
      </c>
      <c r="J53" s="19">
        <v>3</v>
      </c>
      <c r="K53" s="19">
        <v>4</v>
      </c>
      <c r="L53" s="19">
        <v>5</v>
      </c>
    </row>
    <row r="54" spans="1:12" ht="17" x14ac:dyDescent="0.2">
      <c r="A54" s="18">
        <v>51</v>
      </c>
      <c r="B54" s="18">
        <v>29</v>
      </c>
      <c r="C54" s="20" t="s">
        <v>22</v>
      </c>
      <c r="D54" s="22" t="s">
        <v>66</v>
      </c>
      <c r="E54" s="18">
        <v>98000</v>
      </c>
      <c r="F54" s="22" t="s">
        <v>74</v>
      </c>
      <c r="G54" s="22" t="s">
        <v>72</v>
      </c>
      <c r="H54" s="18">
        <v>6</v>
      </c>
      <c r="I54" s="18">
        <v>5500</v>
      </c>
      <c r="J54" s="18">
        <v>3</v>
      </c>
      <c r="K54" s="18">
        <v>4</v>
      </c>
      <c r="L54" s="18">
        <v>4</v>
      </c>
    </row>
    <row r="55" spans="1:12" ht="17" x14ac:dyDescent="0.2">
      <c r="A55" s="19">
        <v>52</v>
      </c>
      <c r="B55" s="19">
        <v>31</v>
      </c>
      <c r="C55" s="21" t="s">
        <v>22</v>
      </c>
      <c r="D55" s="3" t="s">
        <v>66</v>
      </c>
      <c r="E55" s="19">
        <v>96000</v>
      </c>
      <c r="F55" s="3" t="s">
        <v>43</v>
      </c>
      <c r="G55" s="3" t="s">
        <v>44</v>
      </c>
      <c r="H55" s="19">
        <v>3</v>
      </c>
      <c r="I55" s="19">
        <v>6300</v>
      </c>
      <c r="J55" s="19">
        <v>3</v>
      </c>
      <c r="K55" s="19">
        <v>4</v>
      </c>
      <c r="L55" s="19">
        <v>5</v>
      </c>
    </row>
    <row r="56" spans="1:12" ht="17" x14ac:dyDescent="0.2">
      <c r="A56" s="18">
        <v>53</v>
      </c>
      <c r="B56" s="18">
        <v>36</v>
      </c>
      <c r="C56" s="20" t="s">
        <v>62</v>
      </c>
      <c r="D56" s="22" t="s">
        <v>42</v>
      </c>
      <c r="E56" s="18">
        <v>102000</v>
      </c>
      <c r="F56" s="22" t="s">
        <v>43</v>
      </c>
      <c r="G56" s="22" t="s">
        <v>72</v>
      </c>
      <c r="H56" s="18">
        <v>2</v>
      </c>
      <c r="I56" s="18">
        <v>6600</v>
      </c>
      <c r="J56" s="18">
        <v>2</v>
      </c>
      <c r="K56" s="18">
        <v>3</v>
      </c>
      <c r="L56" s="18">
        <v>4</v>
      </c>
    </row>
    <row r="57" spans="1:12" ht="17" x14ac:dyDescent="0.2">
      <c r="A57" s="19">
        <v>54</v>
      </c>
      <c r="B57" s="19">
        <v>28</v>
      </c>
      <c r="C57" s="21" t="s">
        <v>62</v>
      </c>
      <c r="D57" s="3" t="s">
        <v>66</v>
      </c>
      <c r="E57" s="19">
        <v>93000</v>
      </c>
      <c r="F57" s="3" t="s">
        <v>43</v>
      </c>
      <c r="G57" s="3" t="s">
        <v>44</v>
      </c>
      <c r="H57" s="19">
        <v>4</v>
      </c>
      <c r="I57" s="19">
        <v>7900</v>
      </c>
      <c r="J57" s="19">
        <v>4</v>
      </c>
      <c r="K57" s="19">
        <v>5</v>
      </c>
      <c r="L57" s="19">
        <v>5</v>
      </c>
    </row>
    <row r="58" spans="1:12" ht="17" x14ac:dyDescent="0.2">
      <c r="A58" s="18">
        <v>55</v>
      </c>
      <c r="B58" s="18">
        <v>29</v>
      </c>
      <c r="C58" s="20" t="s">
        <v>22</v>
      </c>
      <c r="D58" s="22" t="s">
        <v>42</v>
      </c>
      <c r="E58" s="18">
        <v>90000</v>
      </c>
      <c r="F58" s="22" t="s">
        <v>71</v>
      </c>
      <c r="G58" s="23" t="s">
        <v>79</v>
      </c>
      <c r="H58" s="18">
        <v>5</v>
      </c>
      <c r="I58" s="18">
        <v>6100</v>
      </c>
      <c r="J58" s="18">
        <v>2</v>
      </c>
      <c r="K58" s="18">
        <v>4</v>
      </c>
      <c r="L58" s="18">
        <v>4</v>
      </c>
    </row>
    <row r="59" spans="1:12" ht="17" x14ac:dyDescent="0.2">
      <c r="A59" s="19">
        <v>56</v>
      </c>
      <c r="B59" s="19">
        <v>33</v>
      </c>
      <c r="C59" s="21" t="s">
        <v>62</v>
      </c>
      <c r="D59" s="3" t="s">
        <v>65</v>
      </c>
      <c r="E59" s="19">
        <v>84000</v>
      </c>
      <c r="F59" s="3" t="s">
        <v>74</v>
      </c>
      <c r="G59" s="3" t="s">
        <v>44</v>
      </c>
      <c r="H59" s="19">
        <v>3</v>
      </c>
      <c r="I59" s="19">
        <v>5900</v>
      </c>
      <c r="J59" s="19">
        <v>3</v>
      </c>
      <c r="K59" s="19">
        <v>4</v>
      </c>
      <c r="L59" s="19">
        <v>5</v>
      </c>
    </row>
    <row r="60" spans="1:12" ht="17" x14ac:dyDescent="0.2">
      <c r="A60" s="18">
        <v>57</v>
      </c>
      <c r="B60" s="18">
        <v>23</v>
      </c>
      <c r="C60" s="20" t="s">
        <v>63</v>
      </c>
      <c r="D60" s="22" t="s">
        <v>42</v>
      </c>
      <c r="E60" s="18">
        <v>58000</v>
      </c>
      <c r="F60" s="22" t="s">
        <v>43</v>
      </c>
      <c r="G60" s="22" t="s">
        <v>44</v>
      </c>
      <c r="H60" s="18">
        <v>5</v>
      </c>
      <c r="I60" s="18">
        <v>5800</v>
      </c>
      <c r="J60" s="18">
        <v>4</v>
      </c>
      <c r="K60" s="18">
        <v>4</v>
      </c>
      <c r="L60" s="18">
        <v>4</v>
      </c>
    </row>
    <row r="61" spans="1:12" ht="17" x14ac:dyDescent="0.2">
      <c r="A61" s="19">
        <v>58</v>
      </c>
      <c r="B61" s="19">
        <v>40</v>
      </c>
      <c r="C61" s="21" t="s">
        <v>62</v>
      </c>
      <c r="D61" s="3" t="s">
        <v>66</v>
      </c>
      <c r="E61" s="19">
        <v>113000</v>
      </c>
      <c r="F61" s="3" t="s">
        <v>76</v>
      </c>
      <c r="G61" s="3" t="s">
        <v>72</v>
      </c>
      <c r="H61" s="19">
        <v>2</v>
      </c>
      <c r="I61" s="19">
        <v>7200</v>
      </c>
      <c r="J61" s="19">
        <v>2</v>
      </c>
      <c r="K61" s="19">
        <v>4</v>
      </c>
      <c r="L61" s="19">
        <v>4</v>
      </c>
    </row>
    <row r="62" spans="1:12" ht="17" x14ac:dyDescent="0.2">
      <c r="A62" s="18">
        <v>59</v>
      </c>
      <c r="B62" s="18">
        <v>31</v>
      </c>
      <c r="C62" s="20" t="s">
        <v>62</v>
      </c>
      <c r="D62" s="22" t="s">
        <v>42</v>
      </c>
      <c r="E62" s="18">
        <v>93000</v>
      </c>
      <c r="F62" s="22" t="s">
        <v>76</v>
      </c>
      <c r="G62" s="22" t="s">
        <v>72</v>
      </c>
      <c r="H62" s="18">
        <v>5</v>
      </c>
      <c r="I62" s="18">
        <v>6000</v>
      </c>
      <c r="J62" s="18">
        <v>3</v>
      </c>
      <c r="K62" s="18">
        <v>4</v>
      </c>
      <c r="L62" s="18">
        <v>5</v>
      </c>
    </row>
    <row r="63" spans="1:12" ht="17" x14ac:dyDescent="0.2">
      <c r="A63" s="19">
        <v>60</v>
      </c>
      <c r="B63" s="19">
        <v>31</v>
      </c>
      <c r="C63" s="21" t="s">
        <v>22</v>
      </c>
      <c r="D63" s="3" t="s">
        <v>65</v>
      </c>
      <c r="E63" s="19">
        <v>94000</v>
      </c>
      <c r="F63" s="3" t="s">
        <v>43</v>
      </c>
      <c r="G63" s="3" t="s">
        <v>72</v>
      </c>
      <c r="H63" s="19">
        <v>4</v>
      </c>
      <c r="I63" s="19">
        <v>6900</v>
      </c>
      <c r="J63" s="19">
        <v>3</v>
      </c>
      <c r="K63" s="19">
        <v>4</v>
      </c>
      <c r="L63" s="19">
        <v>5</v>
      </c>
    </row>
    <row r="64" spans="1:12" ht="17" x14ac:dyDescent="0.2">
      <c r="A64" s="18">
        <v>61</v>
      </c>
      <c r="B64" s="18">
        <v>25</v>
      </c>
      <c r="C64" s="20" t="s">
        <v>62</v>
      </c>
      <c r="D64" s="22" t="s">
        <v>42</v>
      </c>
      <c r="E64" s="18">
        <v>76000</v>
      </c>
      <c r="F64" s="22" t="s">
        <v>43</v>
      </c>
      <c r="G64" s="22" t="s">
        <v>44</v>
      </c>
      <c r="H64" s="18">
        <v>7</v>
      </c>
      <c r="I64" s="18">
        <v>5100</v>
      </c>
      <c r="J64" s="18">
        <v>3</v>
      </c>
      <c r="K64" s="18">
        <v>4</v>
      </c>
      <c r="L64" s="18">
        <v>5</v>
      </c>
    </row>
    <row r="65" spans="1:12" ht="17" x14ac:dyDescent="0.2">
      <c r="A65" s="19">
        <v>62</v>
      </c>
      <c r="B65" s="19">
        <v>23</v>
      </c>
      <c r="C65" s="21" t="s">
        <v>22</v>
      </c>
      <c r="D65" s="3" t="s">
        <v>66</v>
      </c>
      <c r="E65" s="19">
        <v>68000</v>
      </c>
      <c r="F65" s="3" t="s">
        <v>76</v>
      </c>
      <c r="G65" s="3" t="s">
        <v>72</v>
      </c>
      <c r="H65" s="19">
        <v>3</v>
      </c>
      <c r="I65" s="19">
        <v>3700</v>
      </c>
      <c r="J65" s="19">
        <v>3</v>
      </c>
      <c r="K65" s="19">
        <v>3</v>
      </c>
      <c r="L65" s="19">
        <v>3</v>
      </c>
    </row>
    <row r="66" spans="1:12" ht="17" x14ac:dyDescent="0.2">
      <c r="A66" s="18">
        <v>63</v>
      </c>
      <c r="B66" s="18">
        <v>41</v>
      </c>
      <c r="C66" s="20" t="s">
        <v>22</v>
      </c>
      <c r="D66" s="22" t="s">
        <v>65</v>
      </c>
      <c r="E66" s="18">
        <v>99000</v>
      </c>
      <c r="F66" s="22" t="s">
        <v>73</v>
      </c>
      <c r="G66" s="22" t="s">
        <v>72</v>
      </c>
      <c r="H66" s="18">
        <v>4</v>
      </c>
      <c r="I66" s="18">
        <v>6700</v>
      </c>
      <c r="J66" s="18">
        <v>2</v>
      </c>
      <c r="K66" s="24"/>
      <c r="L66" s="18">
        <v>4</v>
      </c>
    </row>
    <row r="67" spans="1:12" ht="17" x14ac:dyDescent="0.2">
      <c r="A67" s="19">
        <v>64</v>
      </c>
      <c r="B67" s="19">
        <v>40</v>
      </c>
      <c r="C67" s="21" t="s">
        <v>22</v>
      </c>
      <c r="D67" s="3" t="s">
        <v>65</v>
      </c>
      <c r="E67" s="19">
        <v>101000</v>
      </c>
      <c r="F67" s="3" t="s">
        <v>73</v>
      </c>
      <c r="G67" s="3" t="s">
        <v>72</v>
      </c>
      <c r="H67" s="19">
        <v>4</v>
      </c>
      <c r="I67" s="19">
        <v>7300</v>
      </c>
      <c r="J67" s="19">
        <v>2</v>
      </c>
      <c r="K67" s="19">
        <v>4</v>
      </c>
      <c r="L67" s="19">
        <v>5</v>
      </c>
    </row>
    <row r="68" spans="1:12" ht="17" x14ac:dyDescent="0.2">
      <c r="A68" s="18">
        <v>65</v>
      </c>
      <c r="B68" s="18">
        <v>26</v>
      </c>
      <c r="C68" s="20" t="s">
        <v>22</v>
      </c>
      <c r="D68" s="22" t="s">
        <v>42</v>
      </c>
      <c r="E68" s="18">
        <v>86000</v>
      </c>
      <c r="F68" s="22" t="s">
        <v>73</v>
      </c>
      <c r="G68" s="22" t="s">
        <v>44</v>
      </c>
      <c r="H68" s="18">
        <v>5</v>
      </c>
      <c r="I68" s="18">
        <v>6400</v>
      </c>
      <c r="J68" s="18">
        <v>3</v>
      </c>
      <c r="K68" s="18">
        <v>4</v>
      </c>
      <c r="L68" s="18">
        <v>5</v>
      </c>
    </row>
    <row r="69" spans="1:12" ht="17" x14ac:dyDescent="0.2">
      <c r="A69" s="19">
        <v>66</v>
      </c>
      <c r="B69" s="19">
        <v>33</v>
      </c>
      <c r="C69" s="21" t="s">
        <v>22</v>
      </c>
      <c r="D69" s="3" t="s">
        <v>65</v>
      </c>
      <c r="E69" s="19">
        <v>101000</v>
      </c>
      <c r="F69" s="3" t="s">
        <v>76</v>
      </c>
      <c r="G69" s="3" t="s">
        <v>44</v>
      </c>
      <c r="H69" s="19">
        <v>5</v>
      </c>
      <c r="I69" s="19">
        <v>6100</v>
      </c>
      <c r="J69" s="19">
        <v>3</v>
      </c>
      <c r="K69" s="19">
        <v>4</v>
      </c>
      <c r="L69" s="19">
        <v>5</v>
      </c>
    </row>
    <row r="70" spans="1:12" ht="17" x14ac:dyDescent="0.2">
      <c r="A70" s="18">
        <v>67</v>
      </c>
      <c r="B70" s="18">
        <v>18</v>
      </c>
      <c r="C70" s="20" t="s">
        <v>62</v>
      </c>
      <c r="D70" s="22" t="s">
        <v>42</v>
      </c>
      <c r="E70" s="18">
        <v>50000</v>
      </c>
      <c r="F70" s="22" t="s">
        <v>76</v>
      </c>
      <c r="G70" s="22" t="s">
        <v>44</v>
      </c>
      <c r="H70" s="18">
        <v>7</v>
      </c>
      <c r="I70" s="18">
        <v>5200</v>
      </c>
      <c r="J70" s="18">
        <v>5</v>
      </c>
      <c r="K70" s="18">
        <v>4</v>
      </c>
      <c r="L70" s="18">
        <v>5</v>
      </c>
    </row>
    <row r="71" spans="1:12" ht="17" x14ac:dyDescent="0.2">
      <c r="A71" s="19">
        <v>68</v>
      </c>
      <c r="B71" s="19">
        <v>18</v>
      </c>
      <c r="C71" s="21" t="s">
        <v>62</v>
      </c>
      <c r="D71" s="23" t="s">
        <v>70</v>
      </c>
      <c r="E71" s="19">
        <v>64000</v>
      </c>
      <c r="F71" s="3" t="s">
        <v>71</v>
      </c>
      <c r="G71" s="3" t="s">
        <v>72</v>
      </c>
      <c r="H71" s="19">
        <v>2</v>
      </c>
      <c r="I71" s="19">
        <v>3800</v>
      </c>
      <c r="J71" s="19">
        <v>4</v>
      </c>
      <c r="K71" s="19">
        <v>3</v>
      </c>
      <c r="L71" s="19">
        <v>4</v>
      </c>
    </row>
    <row r="72" spans="1:12" ht="17" x14ac:dyDescent="0.2">
      <c r="A72" s="18">
        <v>69</v>
      </c>
      <c r="B72" s="18">
        <v>20</v>
      </c>
      <c r="C72" s="20" t="s">
        <v>62</v>
      </c>
      <c r="D72" s="22" t="s">
        <v>64</v>
      </c>
      <c r="E72" s="18">
        <v>56000</v>
      </c>
      <c r="F72" s="22" t="s">
        <v>71</v>
      </c>
      <c r="G72" s="22" t="s">
        <v>44</v>
      </c>
      <c r="H72" s="18">
        <v>6</v>
      </c>
      <c r="I72" s="18">
        <v>3200</v>
      </c>
      <c r="J72" s="18">
        <v>3</v>
      </c>
      <c r="K72" s="18">
        <v>3</v>
      </c>
      <c r="L72" s="18">
        <v>4</v>
      </c>
    </row>
    <row r="73" spans="1:12" ht="17" x14ac:dyDescent="0.2">
      <c r="A73" s="19">
        <v>70</v>
      </c>
      <c r="B73" s="19">
        <v>43</v>
      </c>
      <c r="C73" s="21" t="s">
        <v>62</v>
      </c>
      <c r="D73" s="3" t="s">
        <v>64</v>
      </c>
      <c r="E73" s="19">
        <v>105000</v>
      </c>
      <c r="F73" s="3" t="s">
        <v>71</v>
      </c>
      <c r="G73" s="3" t="s">
        <v>72</v>
      </c>
      <c r="H73" s="19">
        <v>2</v>
      </c>
      <c r="I73" s="19">
        <v>6200</v>
      </c>
      <c r="J73" s="19">
        <v>2</v>
      </c>
      <c r="K73" s="19">
        <v>4</v>
      </c>
      <c r="L73" s="19">
        <v>5</v>
      </c>
    </row>
    <row r="74" spans="1:12" ht="17" x14ac:dyDescent="0.2">
      <c r="A74" s="18">
        <v>71</v>
      </c>
      <c r="B74" s="18">
        <v>41</v>
      </c>
      <c r="C74" s="20" t="s">
        <v>22</v>
      </c>
      <c r="D74" s="22" t="s">
        <v>64</v>
      </c>
      <c r="E74" s="18">
        <v>109000</v>
      </c>
      <c r="F74" s="22" t="s">
        <v>76</v>
      </c>
      <c r="G74" s="22" t="s">
        <v>72</v>
      </c>
      <c r="H74" s="18">
        <v>2</v>
      </c>
      <c r="I74" s="18">
        <v>5500</v>
      </c>
      <c r="J74" s="18">
        <v>1</v>
      </c>
      <c r="K74" s="18">
        <v>3</v>
      </c>
      <c r="L74" s="18">
        <v>3</v>
      </c>
    </row>
    <row r="75" spans="1:12" ht="17" x14ac:dyDescent="0.2">
      <c r="A75" s="19">
        <v>72</v>
      </c>
      <c r="B75" s="19">
        <v>32</v>
      </c>
      <c r="C75" s="21" t="s">
        <v>62</v>
      </c>
      <c r="D75" s="3" t="s">
        <v>65</v>
      </c>
      <c r="E75" s="19">
        <v>76000</v>
      </c>
      <c r="F75" s="3" t="s">
        <v>43</v>
      </c>
      <c r="G75" s="3" t="s">
        <v>72</v>
      </c>
      <c r="H75" s="19">
        <v>3</v>
      </c>
      <c r="I75" s="19">
        <v>6300</v>
      </c>
      <c r="J75" s="19">
        <v>2</v>
      </c>
      <c r="K75" s="19">
        <v>4</v>
      </c>
      <c r="L75" s="19">
        <v>5</v>
      </c>
    </row>
    <row r="76" spans="1:12" ht="17" x14ac:dyDescent="0.2">
      <c r="A76" s="18">
        <v>73</v>
      </c>
      <c r="B76" s="18">
        <v>43</v>
      </c>
      <c r="C76" s="20" t="s">
        <v>62</v>
      </c>
      <c r="D76" s="22" t="s">
        <v>65</v>
      </c>
      <c r="E76" s="18">
        <v>121000</v>
      </c>
      <c r="F76" s="22" t="s">
        <v>74</v>
      </c>
      <c r="G76" s="22" t="s">
        <v>72</v>
      </c>
      <c r="H76" s="18">
        <v>3</v>
      </c>
      <c r="I76" s="18">
        <v>6600</v>
      </c>
      <c r="J76" s="18">
        <v>2</v>
      </c>
      <c r="K76" s="18">
        <v>4</v>
      </c>
      <c r="L76" s="18">
        <v>4</v>
      </c>
    </row>
    <row r="77" spans="1:12" ht="17" x14ac:dyDescent="0.2">
      <c r="A77" s="19">
        <v>74</v>
      </c>
      <c r="B77" s="19">
        <v>23</v>
      </c>
      <c r="C77" s="21" t="s">
        <v>62</v>
      </c>
      <c r="D77" s="3" t="s">
        <v>65</v>
      </c>
      <c r="E77" s="19">
        <v>85000</v>
      </c>
      <c r="F77" s="3" t="s">
        <v>73</v>
      </c>
      <c r="G77" s="3" t="s">
        <v>44</v>
      </c>
      <c r="H77" s="19">
        <v>6</v>
      </c>
      <c r="I77" s="19">
        <v>7400</v>
      </c>
      <c r="J77" s="19">
        <v>4</v>
      </c>
      <c r="K77" s="19">
        <v>3</v>
      </c>
      <c r="L77" s="19">
        <v>5</v>
      </c>
    </row>
    <row r="78" spans="1:12" ht="17" x14ac:dyDescent="0.2">
      <c r="A78" s="18">
        <v>75</v>
      </c>
      <c r="B78" s="18">
        <v>34</v>
      </c>
      <c r="C78" s="20" t="s">
        <v>62</v>
      </c>
      <c r="D78" s="22" t="s">
        <v>66</v>
      </c>
      <c r="E78" s="18">
        <v>99000</v>
      </c>
      <c r="F78" s="22" t="s">
        <v>43</v>
      </c>
      <c r="G78" s="22" t="s">
        <v>72</v>
      </c>
      <c r="H78" s="18">
        <v>2</v>
      </c>
      <c r="I78" s="18">
        <v>6000</v>
      </c>
      <c r="J78" s="18">
        <v>2</v>
      </c>
      <c r="K78" s="18">
        <v>3</v>
      </c>
      <c r="L78" s="18">
        <v>5</v>
      </c>
    </row>
    <row r="79" spans="1:12" ht="17" x14ac:dyDescent="0.2">
      <c r="A79" s="19">
        <v>76</v>
      </c>
      <c r="B79" s="19">
        <v>44</v>
      </c>
      <c r="C79" s="21" t="s">
        <v>62</v>
      </c>
      <c r="D79" s="3" t="s">
        <v>65</v>
      </c>
      <c r="E79" s="19">
        <v>97000</v>
      </c>
      <c r="F79" s="3" t="s">
        <v>76</v>
      </c>
      <c r="G79" s="3" t="s">
        <v>72</v>
      </c>
      <c r="H79" s="19">
        <v>2</v>
      </c>
      <c r="I79" s="19">
        <v>6500</v>
      </c>
      <c r="J79" s="19">
        <v>2</v>
      </c>
      <c r="K79" s="19">
        <v>3</v>
      </c>
      <c r="L79" s="19">
        <v>4</v>
      </c>
    </row>
    <row r="80" spans="1:12" ht="17" x14ac:dyDescent="0.2">
      <c r="A80" s="18">
        <v>77</v>
      </c>
      <c r="B80" s="18">
        <v>38</v>
      </c>
      <c r="C80" s="20" t="s">
        <v>22</v>
      </c>
      <c r="D80" s="22" t="s">
        <v>66</v>
      </c>
      <c r="E80" s="18">
        <v>106000</v>
      </c>
      <c r="F80" s="22" t="s">
        <v>43</v>
      </c>
      <c r="G80" s="22" t="s">
        <v>72</v>
      </c>
      <c r="H80" s="18">
        <v>4</v>
      </c>
      <c r="I80" s="18">
        <v>7500</v>
      </c>
      <c r="J80" s="24"/>
      <c r="K80" s="18">
        <v>5</v>
      </c>
      <c r="L80" s="18">
        <v>5</v>
      </c>
    </row>
    <row r="81" spans="1:12" ht="17" x14ac:dyDescent="0.2">
      <c r="A81" s="19">
        <v>78</v>
      </c>
      <c r="B81" s="19">
        <v>21</v>
      </c>
      <c r="C81" s="21" t="s">
        <v>62</v>
      </c>
      <c r="D81" s="3" t="s">
        <v>66</v>
      </c>
      <c r="E81" s="19">
        <v>79000</v>
      </c>
      <c r="F81" s="3" t="s">
        <v>73</v>
      </c>
      <c r="G81" s="3" t="s">
        <v>44</v>
      </c>
      <c r="H81" s="19">
        <v>7</v>
      </c>
      <c r="I81" s="19">
        <v>6000</v>
      </c>
      <c r="J81" s="19">
        <v>4</v>
      </c>
      <c r="K81" s="19">
        <v>4</v>
      </c>
      <c r="L81" s="19">
        <v>5</v>
      </c>
    </row>
    <row r="82" spans="1:12" ht="17" x14ac:dyDescent="0.2">
      <c r="A82" s="18">
        <v>79</v>
      </c>
      <c r="B82" s="18">
        <v>26</v>
      </c>
      <c r="C82" s="20" t="s">
        <v>22</v>
      </c>
      <c r="D82" s="22" t="s">
        <v>67</v>
      </c>
      <c r="E82" s="18">
        <v>74000</v>
      </c>
      <c r="F82" s="22" t="s">
        <v>71</v>
      </c>
      <c r="G82" s="22" t="s">
        <v>72</v>
      </c>
      <c r="H82" s="18">
        <v>5</v>
      </c>
      <c r="I82" s="18">
        <v>4800</v>
      </c>
      <c r="J82" s="18">
        <v>4</v>
      </c>
      <c r="K82" s="18">
        <v>2</v>
      </c>
      <c r="L82" s="18">
        <v>3</v>
      </c>
    </row>
    <row r="83" spans="1:12" ht="17" x14ac:dyDescent="0.2">
      <c r="A83" s="19">
        <v>80</v>
      </c>
      <c r="B83" s="19">
        <v>34</v>
      </c>
      <c r="C83" s="21" t="s">
        <v>22</v>
      </c>
      <c r="D83" s="3" t="s">
        <v>64</v>
      </c>
      <c r="E83" s="19">
        <v>97000</v>
      </c>
      <c r="F83" s="3" t="s">
        <v>76</v>
      </c>
      <c r="G83" s="3" t="s">
        <v>44</v>
      </c>
      <c r="H83" s="19">
        <v>6</v>
      </c>
      <c r="I83" s="19">
        <v>6000</v>
      </c>
      <c r="J83" s="19">
        <v>3</v>
      </c>
      <c r="K83" s="19">
        <v>4</v>
      </c>
      <c r="L83" s="19">
        <v>5</v>
      </c>
    </row>
    <row r="84" spans="1:12" ht="17" x14ac:dyDescent="0.2">
      <c r="A84" s="18">
        <v>81</v>
      </c>
      <c r="B84" s="18">
        <v>33</v>
      </c>
      <c r="C84" s="20" t="s">
        <v>22</v>
      </c>
      <c r="D84" s="22" t="s">
        <v>67</v>
      </c>
      <c r="E84" s="18">
        <v>93000</v>
      </c>
      <c r="F84" s="22" t="s">
        <v>76</v>
      </c>
      <c r="G84" s="22" t="s">
        <v>72</v>
      </c>
      <c r="H84" s="18">
        <v>1</v>
      </c>
      <c r="I84" s="18">
        <v>5800</v>
      </c>
      <c r="J84" s="18">
        <v>3</v>
      </c>
      <c r="K84" s="18">
        <v>3</v>
      </c>
      <c r="L84" s="18">
        <v>4</v>
      </c>
    </row>
    <row r="85" spans="1:12" ht="17" x14ac:dyDescent="0.2">
      <c r="A85" s="19">
        <v>82</v>
      </c>
      <c r="B85" s="19">
        <v>44</v>
      </c>
      <c r="C85" s="21" t="s">
        <v>62</v>
      </c>
      <c r="D85" s="3" t="s">
        <v>65</v>
      </c>
      <c r="E85" s="19">
        <v>100000</v>
      </c>
      <c r="F85" s="3" t="s">
        <v>43</v>
      </c>
      <c r="G85" s="3" t="s">
        <v>44</v>
      </c>
      <c r="H85" s="19">
        <v>5</v>
      </c>
      <c r="I85" s="19">
        <v>7800</v>
      </c>
      <c r="J85" s="19">
        <v>2</v>
      </c>
      <c r="K85" s="19">
        <v>5</v>
      </c>
      <c r="L85" s="19">
        <v>5</v>
      </c>
    </row>
    <row r="86" spans="1:12" ht="17" x14ac:dyDescent="0.2">
      <c r="A86" s="18">
        <v>83</v>
      </c>
      <c r="B86" s="18">
        <v>33</v>
      </c>
      <c r="C86" s="20" t="s">
        <v>63</v>
      </c>
      <c r="D86" s="22" t="s">
        <v>66</v>
      </c>
      <c r="E86" s="18">
        <v>95000</v>
      </c>
      <c r="F86" s="22" t="s">
        <v>73</v>
      </c>
      <c r="G86" s="22" t="s">
        <v>44</v>
      </c>
      <c r="H86" s="18">
        <v>3</v>
      </c>
      <c r="I86" s="18">
        <v>6600</v>
      </c>
      <c r="J86" s="18">
        <v>2</v>
      </c>
      <c r="K86" s="18">
        <v>4</v>
      </c>
      <c r="L86" s="18">
        <v>4</v>
      </c>
    </row>
    <row r="87" spans="1:12" ht="17" x14ac:dyDescent="0.2">
      <c r="A87" s="19">
        <v>84</v>
      </c>
      <c r="B87" s="19">
        <v>43</v>
      </c>
      <c r="C87" s="21" t="s">
        <v>62</v>
      </c>
      <c r="D87" s="3" t="s">
        <v>66</v>
      </c>
      <c r="E87" s="19">
        <v>121000</v>
      </c>
      <c r="F87" s="3" t="s">
        <v>43</v>
      </c>
      <c r="G87" s="23" t="s">
        <v>77</v>
      </c>
      <c r="H87" s="19">
        <v>5</v>
      </c>
      <c r="I87" s="19">
        <v>8300</v>
      </c>
      <c r="J87" s="19">
        <v>2</v>
      </c>
      <c r="K87" s="19">
        <v>4</v>
      </c>
      <c r="L87" s="19">
        <v>5</v>
      </c>
    </row>
    <row r="88" spans="1:12" ht="17" x14ac:dyDescent="0.2">
      <c r="A88" s="18">
        <v>85</v>
      </c>
      <c r="B88" s="18">
        <v>32</v>
      </c>
      <c r="C88" s="20" t="s">
        <v>62</v>
      </c>
      <c r="D88" s="22" t="s">
        <v>66</v>
      </c>
      <c r="E88" s="18">
        <v>94000</v>
      </c>
      <c r="F88" s="22" t="s">
        <v>71</v>
      </c>
      <c r="G88" s="22" t="s">
        <v>44</v>
      </c>
      <c r="H88" s="18">
        <v>4</v>
      </c>
      <c r="I88" s="18">
        <v>6800</v>
      </c>
      <c r="J88" s="18">
        <v>3</v>
      </c>
      <c r="K88" s="18">
        <v>5</v>
      </c>
      <c r="L88" s="18">
        <v>5</v>
      </c>
    </row>
    <row r="89" spans="1:12" ht="17" x14ac:dyDescent="0.2">
      <c r="A89" s="19">
        <v>86</v>
      </c>
      <c r="B89" s="19">
        <v>25</v>
      </c>
      <c r="C89" s="21" t="s">
        <v>62</v>
      </c>
      <c r="D89" s="3" t="s">
        <v>66</v>
      </c>
      <c r="E89" s="19">
        <v>73000</v>
      </c>
      <c r="F89" s="3" t="s">
        <v>43</v>
      </c>
      <c r="G89" s="3" t="s">
        <v>72</v>
      </c>
      <c r="H89" s="19">
        <v>4</v>
      </c>
      <c r="I89" s="19">
        <v>6400</v>
      </c>
      <c r="J89" s="19">
        <v>4</v>
      </c>
      <c r="K89" s="19">
        <v>4</v>
      </c>
      <c r="L89" s="19">
        <v>5</v>
      </c>
    </row>
    <row r="90" spans="1:12" ht="17" x14ac:dyDescent="0.2">
      <c r="A90" s="18">
        <v>87</v>
      </c>
      <c r="B90" s="18">
        <v>19</v>
      </c>
      <c r="C90" s="20" t="s">
        <v>22</v>
      </c>
      <c r="D90" s="22" t="s">
        <v>67</v>
      </c>
      <c r="E90" s="18">
        <v>59000</v>
      </c>
      <c r="F90" s="22" t="s">
        <v>74</v>
      </c>
      <c r="G90" s="22" t="s">
        <v>72</v>
      </c>
      <c r="H90" s="18">
        <v>2</v>
      </c>
      <c r="I90" s="18">
        <v>4100</v>
      </c>
      <c r="J90" s="18">
        <v>5</v>
      </c>
      <c r="K90" s="18">
        <v>3</v>
      </c>
      <c r="L90" s="18">
        <v>5</v>
      </c>
    </row>
    <row r="91" spans="1:12" ht="17" x14ac:dyDescent="0.2">
      <c r="A91" s="19">
        <v>88</v>
      </c>
      <c r="B91" s="19">
        <v>31</v>
      </c>
      <c r="C91" s="21" t="s">
        <v>62</v>
      </c>
      <c r="D91" s="3" t="s">
        <v>67</v>
      </c>
      <c r="E91" s="19">
        <v>72000</v>
      </c>
      <c r="F91" s="3" t="s">
        <v>73</v>
      </c>
      <c r="G91" s="3" t="s">
        <v>72</v>
      </c>
      <c r="H91" s="19">
        <v>1</v>
      </c>
      <c r="I91" s="19">
        <v>6400</v>
      </c>
      <c r="J91" s="19">
        <v>3</v>
      </c>
      <c r="K91" s="19">
        <v>3</v>
      </c>
      <c r="L91" s="19">
        <v>5</v>
      </c>
    </row>
    <row r="92" spans="1:12" ht="17" x14ac:dyDescent="0.2">
      <c r="A92" s="18">
        <v>89</v>
      </c>
      <c r="B92" s="18">
        <v>45</v>
      </c>
      <c r="C92" s="20" t="s">
        <v>62</v>
      </c>
      <c r="D92" s="22" t="s">
        <v>65</v>
      </c>
      <c r="E92" s="18">
        <v>108000</v>
      </c>
      <c r="F92" s="22" t="s">
        <v>74</v>
      </c>
      <c r="G92" s="22" t="s">
        <v>72</v>
      </c>
      <c r="H92" s="18">
        <v>2</v>
      </c>
      <c r="I92" s="18">
        <v>6600</v>
      </c>
      <c r="J92" s="18">
        <v>2</v>
      </c>
      <c r="K92" s="18">
        <v>4</v>
      </c>
      <c r="L92" s="18">
        <v>4</v>
      </c>
    </row>
    <row r="93" spans="1:12" ht="17" x14ac:dyDescent="0.2">
      <c r="A93" s="19">
        <v>90</v>
      </c>
      <c r="B93" s="19">
        <v>39</v>
      </c>
      <c r="C93" s="21" t="s">
        <v>62</v>
      </c>
      <c r="D93" s="3" t="s">
        <v>67</v>
      </c>
      <c r="E93" s="19">
        <v>109000</v>
      </c>
      <c r="F93" s="3" t="s">
        <v>73</v>
      </c>
      <c r="G93" s="3" t="s">
        <v>72</v>
      </c>
      <c r="H93" s="19">
        <v>5</v>
      </c>
      <c r="I93" s="19">
        <v>7100</v>
      </c>
      <c r="J93" s="19">
        <v>1</v>
      </c>
      <c r="K93" s="19">
        <v>4</v>
      </c>
      <c r="L93" s="19">
        <v>4</v>
      </c>
    </row>
    <row r="94" spans="1:12" ht="17" x14ac:dyDescent="0.2">
      <c r="A94" s="18">
        <v>91</v>
      </c>
      <c r="B94" s="18">
        <v>27</v>
      </c>
      <c r="C94" s="20" t="s">
        <v>62</v>
      </c>
      <c r="D94" s="22" t="s">
        <v>42</v>
      </c>
      <c r="E94" s="18">
        <v>91000</v>
      </c>
      <c r="F94" s="23" t="s">
        <v>80</v>
      </c>
      <c r="G94" s="22" t="s">
        <v>44</v>
      </c>
      <c r="H94" s="18">
        <v>5</v>
      </c>
      <c r="I94" s="18">
        <v>6700</v>
      </c>
      <c r="J94" s="18">
        <v>3</v>
      </c>
      <c r="K94" s="18">
        <v>4</v>
      </c>
      <c r="L94" s="18">
        <v>5</v>
      </c>
    </row>
    <row r="95" spans="1:12" ht="17" x14ac:dyDescent="0.2">
      <c r="A95" s="19">
        <v>92</v>
      </c>
      <c r="B95" s="19">
        <v>20</v>
      </c>
      <c r="C95" s="21" t="s">
        <v>62</v>
      </c>
      <c r="D95" s="3" t="s">
        <v>66</v>
      </c>
      <c r="E95" s="19">
        <v>76000</v>
      </c>
      <c r="F95" s="3" t="s">
        <v>43</v>
      </c>
      <c r="G95" s="3" t="s">
        <v>72</v>
      </c>
      <c r="H95" s="19">
        <v>5</v>
      </c>
      <c r="I95" s="19">
        <v>5500</v>
      </c>
      <c r="J95" s="19">
        <v>4</v>
      </c>
      <c r="K95" s="19">
        <v>3</v>
      </c>
      <c r="L95" s="19">
        <v>4</v>
      </c>
    </row>
    <row r="96" spans="1:12" ht="17" x14ac:dyDescent="0.2">
      <c r="A96" s="18">
        <v>93</v>
      </c>
      <c r="B96" s="18">
        <v>18</v>
      </c>
      <c r="C96" s="20" t="s">
        <v>62</v>
      </c>
      <c r="D96" s="22" t="s">
        <v>65</v>
      </c>
      <c r="E96" s="18">
        <v>59000</v>
      </c>
      <c r="F96" s="22" t="s">
        <v>43</v>
      </c>
      <c r="G96" s="22" t="s">
        <v>44</v>
      </c>
      <c r="H96" s="18">
        <v>5</v>
      </c>
      <c r="I96" s="18">
        <v>5300</v>
      </c>
      <c r="J96" s="18">
        <v>4</v>
      </c>
      <c r="K96" s="18">
        <v>3</v>
      </c>
      <c r="L96" s="18">
        <v>5</v>
      </c>
    </row>
    <row r="97" spans="1:12" ht="17" x14ac:dyDescent="0.2">
      <c r="A97" s="19">
        <v>94</v>
      </c>
      <c r="B97" s="19">
        <v>31</v>
      </c>
      <c r="C97" s="21" t="s">
        <v>62</v>
      </c>
      <c r="D97" s="3" t="s">
        <v>66</v>
      </c>
      <c r="E97" s="19">
        <v>84000</v>
      </c>
      <c r="F97" s="3" t="s">
        <v>43</v>
      </c>
      <c r="G97" s="3" t="s">
        <v>44</v>
      </c>
      <c r="H97" s="19">
        <v>5</v>
      </c>
      <c r="I97" s="19">
        <v>6500</v>
      </c>
      <c r="J97" s="19">
        <v>2</v>
      </c>
      <c r="K97" s="19">
        <v>4</v>
      </c>
      <c r="L97" s="19">
        <v>5</v>
      </c>
    </row>
    <row r="98" spans="1:12" ht="17" x14ac:dyDescent="0.2">
      <c r="A98" s="18">
        <v>95</v>
      </c>
      <c r="B98" s="18">
        <v>40</v>
      </c>
      <c r="C98" s="20" t="s">
        <v>22</v>
      </c>
      <c r="D98" s="22" t="s">
        <v>67</v>
      </c>
      <c r="E98" s="18">
        <v>108000</v>
      </c>
      <c r="F98" s="22" t="s">
        <v>73</v>
      </c>
      <c r="G98" s="22" t="s">
        <v>44</v>
      </c>
      <c r="H98" s="18">
        <v>6</v>
      </c>
      <c r="I98" s="18">
        <v>7300</v>
      </c>
      <c r="J98" s="18">
        <v>2</v>
      </c>
      <c r="K98" s="18">
        <v>5</v>
      </c>
      <c r="L98" s="18">
        <v>5</v>
      </c>
    </row>
    <row r="99" spans="1:12" ht="17" x14ac:dyDescent="0.2">
      <c r="A99" s="19">
        <v>96</v>
      </c>
      <c r="B99" s="19">
        <v>27</v>
      </c>
      <c r="C99" s="21" t="s">
        <v>62</v>
      </c>
      <c r="D99" s="3" t="s">
        <v>42</v>
      </c>
      <c r="E99" s="19">
        <v>91000</v>
      </c>
      <c r="F99" s="3" t="s">
        <v>73</v>
      </c>
      <c r="G99" s="3" t="s">
        <v>72</v>
      </c>
      <c r="H99" s="19">
        <v>4</v>
      </c>
      <c r="I99" s="19">
        <v>7800</v>
      </c>
      <c r="J99" s="19">
        <v>3</v>
      </c>
      <c r="K99" s="19">
        <v>4</v>
      </c>
      <c r="L99" s="19">
        <v>5</v>
      </c>
    </row>
    <row r="100" spans="1:12" ht="17" x14ac:dyDescent="0.2">
      <c r="A100" s="18">
        <v>97</v>
      </c>
      <c r="B100" s="18">
        <v>38</v>
      </c>
      <c r="C100" s="20" t="s">
        <v>62</v>
      </c>
      <c r="D100" s="22" t="s">
        <v>66</v>
      </c>
      <c r="E100" s="18">
        <v>101000</v>
      </c>
      <c r="F100" s="22" t="s">
        <v>71</v>
      </c>
      <c r="G100" s="22" t="s">
        <v>72</v>
      </c>
      <c r="H100" s="18">
        <v>4</v>
      </c>
      <c r="I100" s="18">
        <v>5600</v>
      </c>
      <c r="J100" s="18">
        <v>1</v>
      </c>
      <c r="K100" s="18">
        <v>3</v>
      </c>
      <c r="L100" s="18">
        <v>3</v>
      </c>
    </row>
    <row r="101" spans="1:12" ht="17" x14ac:dyDescent="0.2">
      <c r="A101" s="19">
        <v>98</v>
      </c>
      <c r="B101" s="19">
        <v>22</v>
      </c>
      <c r="C101" s="21" t="s">
        <v>62</v>
      </c>
      <c r="D101" s="3" t="s">
        <v>67</v>
      </c>
      <c r="E101" s="19">
        <v>66000</v>
      </c>
      <c r="F101" s="3" t="s">
        <v>43</v>
      </c>
      <c r="G101" s="3" t="s">
        <v>72</v>
      </c>
      <c r="H101" s="19">
        <v>6</v>
      </c>
      <c r="I101" s="19">
        <v>6400</v>
      </c>
      <c r="J101" s="19">
        <v>4</v>
      </c>
      <c r="K101" s="19">
        <v>4</v>
      </c>
      <c r="L101" s="19">
        <v>5</v>
      </c>
    </row>
    <row r="102" spans="1:12" ht="17" x14ac:dyDescent="0.2">
      <c r="A102" s="18">
        <v>99</v>
      </c>
      <c r="B102" s="18">
        <v>27</v>
      </c>
      <c r="C102" s="20" t="s">
        <v>62</v>
      </c>
      <c r="D102" s="22" t="s">
        <v>66</v>
      </c>
      <c r="E102" s="18">
        <v>70000</v>
      </c>
      <c r="F102" s="22" t="s">
        <v>43</v>
      </c>
      <c r="G102" s="22" t="s">
        <v>44</v>
      </c>
      <c r="H102" s="18">
        <v>7</v>
      </c>
      <c r="I102" s="18">
        <v>6100</v>
      </c>
      <c r="J102" s="18">
        <v>3</v>
      </c>
      <c r="K102" s="18">
        <v>4</v>
      </c>
      <c r="L102" s="18">
        <v>5</v>
      </c>
    </row>
    <row r="103" spans="1:12" ht="17" x14ac:dyDescent="0.2">
      <c r="A103" s="19">
        <v>100</v>
      </c>
      <c r="B103" s="19">
        <v>43</v>
      </c>
      <c r="C103" s="21" t="s">
        <v>62</v>
      </c>
      <c r="D103" s="3" t="s">
        <v>42</v>
      </c>
      <c r="E103" s="19">
        <v>106000</v>
      </c>
      <c r="F103" s="3" t="s">
        <v>73</v>
      </c>
      <c r="G103" s="3" t="s">
        <v>72</v>
      </c>
      <c r="H103" s="19">
        <v>4</v>
      </c>
      <c r="I103" s="19">
        <v>8100</v>
      </c>
      <c r="J103" s="19">
        <v>1</v>
      </c>
      <c r="K103" s="19">
        <v>4</v>
      </c>
      <c r="L103" s="19">
        <v>4</v>
      </c>
    </row>
    <row r="106" spans="1:12" ht="44" customHeight="1" x14ac:dyDescent="0.2">
      <c r="A106" s="29" t="s">
        <v>84</v>
      </c>
      <c r="B106" s="29"/>
      <c r="C106" s="29"/>
      <c r="D106" s="29"/>
      <c r="E106" s="29"/>
      <c r="F106" s="29"/>
    </row>
    <row r="107" spans="1:12" x14ac:dyDescent="0.2">
      <c r="A107" s="29"/>
      <c r="B107" s="29"/>
      <c r="C107" s="29"/>
      <c r="D107" s="29"/>
      <c r="E107" s="29"/>
      <c r="F107" s="29"/>
    </row>
  </sheetData>
  <mergeCells count="2">
    <mergeCell ref="A1:L1"/>
    <mergeCell ref="A106:F10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D142D-D0F7-7743-98C2-98B5B880875D}">
  <dimension ref="A1:B17"/>
  <sheetViews>
    <sheetView workbookViewId="0">
      <selection activeCell="E9" sqref="E9"/>
    </sheetView>
  </sheetViews>
  <sheetFormatPr baseColWidth="10" defaultRowHeight="16" x14ac:dyDescent="0.2"/>
  <cols>
    <col min="1" max="1" width="16.83203125" customWidth="1"/>
  </cols>
  <sheetData>
    <row r="1" spans="1:2" x14ac:dyDescent="0.2">
      <c r="A1" s="42" t="s">
        <v>32</v>
      </c>
      <c r="B1" s="41"/>
    </row>
    <row r="2" spans="1:2" x14ac:dyDescent="0.2">
      <c r="A2" s="39"/>
      <c r="B2" s="39"/>
    </row>
    <row r="3" spans="1:2" x14ac:dyDescent="0.2">
      <c r="A3" s="39" t="s">
        <v>96</v>
      </c>
      <c r="B3" s="39">
        <v>4.53</v>
      </c>
    </row>
    <row r="4" spans="1:2" x14ac:dyDescent="0.2">
      <c r="A4" s="39" t="s">
        <v>97</v>
      </c>
      <c r="B4" s="39">
        <v>6.1059666133076861E-2</v>
      </c>
    </row>
    <row r="5" spans="1:2" x14ac:dyDescent="0.2">
      <c r="A5" s="39" t="s">
        <v>98</v>
      </c>
      <c r="B5" s="39">
        <v>5</v>
      </c>
    </row>
    <row r="6" spans="1:2" x14ac:dyDescent="0.2">
      <c r="A6" s="39" t="s">
        <v>99</v>
      </c>
      <c r="B6" s="39">
        <v>5</v>
      </c>
    </row>
    <row r="7" spans="1:2" x14ac:dyDescent="0.2">
      <c r="A7" s="39" t="s">
        <v>100</v>
      </c>
      <c r="B7" s="39">
        <v>0.61059666133076862</v>
      </c>
    </row>
    <row r="8" spans="1:2" x14ac:dyDescent="0.2">
      <c r="A8" s="39" t="s">
        <v>101</v>
      </c>
      <c r="B8" s="39">
        <v>0.37282828282828134</v>
      </c>
    </row>
    <row r="9" spans="1:2" x14ac:dyDescent="0.2">
      <c r="A9" s="39" t="s">
        <v>102</v>
      </c>
      <c r="B9" s="39">
        <v>-0.11902385211836863</v>
      </c>
    </row>
    <row r="10" spans="1:2" x14ac:dyDescent="0.2">
      <c r="A10" s="39" t="s">
        <v>103</v>
      </c>
      <c r="B10" s="39">
        <v>-0.93155146779104203</v>
      </c>
    </row>
    <row r="11" spans="1:2" x14ac:dyDescent="0.2">
      <c r="A11" s="39" t="s">
        <v>104</v>
      </c>
      <c r="B11" s="39">
        <v>2</v>
      </c>
    </row>
    <row r="12" spans="1:2" x14ac:dyDescent="0.2">
      <c r="A12" s="39" t="s">
        <v>105</v>
      </c>
      <c r="B12" s="39">
        <v>3</v>
      </c>
    </row>
    <row r="13" spans="1:2" x14ac:dyDescent="0.2">
      <c r="A13" s="39" t="s">
        <v>106</v>
      </c>
      <c r="B13" s="39">
        <v>5</v>
      </c>
    </row>
    <row r="14" spans="1:2" x14ac:dyDescent="0.2">
      <c r="A14" s="39" t="s">
        <v>107</v>
      </c>
      <c r="B14" s="39">
        <v>453</v>
      </c>
    </row>
    <row r="15" spans="1:2" x14ac:dyDescent="0.2">
      <c r="A15" s="39" t="s">
        <v>108</v>
      </c>
      <c r="B15" s="39">
        <v>100</v>
      </c>
    </row>
    <row r="16" spans="1:2" x14ac:dyDescent="0.2">
      <c r="A16" s="39" t="s">
        <v>109</v>
      </c>
      <c r="B16" s="39">
        <v>5</v>
      </c>
    </row>
    <row r="17" spans="1:2" ht="17" thickBot="1" x14ac:dyDescent="0.25">
      <c r="A17" s="40" t="s">
        <v>110</v>
      </c>
      <c r="B17" s="40">
        <v>3</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1044-E879-7E4E-B5CE-6341A770F71E}">
  <dimension ref="A1:B17"/>
  <sheetViews>
    <sheetView workbookViewId="0">
      <selection sqref="A1:B1"/>
    </sheetView>
  </sheetViews>
  <sheetFormatPr baseColWidth="10" defaultRowHeight="16" x14ac:dyDescent="0.2"/>
  <cols>
    <col min="1" max="1" width="17.6640625" customWidth="1"/>
    <col min="2" max="2" width="16.1640625" customWidth="1"/>
  </cols>
  <sheetData>
    <row r="1" spans="1:2" x14ac:dyDescent="0.2">
      <c r="A1" s="42" t="s">
        <v>28</v>
      </c>
      <c r="B1" s="41"/>
    </row>
    <row r="2" spans="1:2" x14ac:dyDescent="0.2">
      <c r="A2" s="39"/>
      <c r="B2" s="39"/>
    </row>
    <row r="3" spans="1:2" x14ac:dyDescent="0.2">
      <c r="A3" s="39" t="s">
        <v>96</v>
      </c>
      <c r="B3" s="39">
        <v>4.08</v>
      </c>
    </row>
    <row r="4" spans="1:2" x14ac:dyDescent="0.2">
      <c r="A4" s="39" t="s">
        <v>97</v>
      </c>
      <c r="B4" s="39">
        <v>0.14817407180595243</v>
      </c>
    </row>
    <row r="5" spans="1:2" x14ac:dyDescent="0.2">
      <c r="A5" s="39" t="s">
        <v>98</v>
      </c>
      <c r="B5" s="39">
        <v>4</v>
      </c>
    </row>
    <row r="6" spans="1:2" x14ac:dyDescent="0.2">
      <c r="A6" s="39" t="s">
        <v>99</v>
      </c>
      <c r="B6" s="39">
        <v>4</v>
      </c>
    </row>
    <row r="7" spans="1:2" x14ac:dyDescent="0.2">
      <c r="A7" s="39" t="s">
        <v>100</v>
      </c>
      <c r="B7" s="39">
        <v>1.4817407180595243</v>
      </c>
    </row>
    <row r="8" spans="1:2" x14ac:dyDescent="0.2">
      <c r="A8" s="39" t="s">
        <v>101</v>
      </c>
      <c r="B8" s="39">
        <v>2.1955555555555546</v>
      </c>
    </row>
    <row r="9" spans="1:2" x14ac:dyDescent="0.2">
      <c r="A9" s="39" t="s">
        <v>102</v>
      </c>
      <c r="B9" s="39">
        <v>-0.42972632895596519</v>
      </c>
    </row>
    <row r="10" spans="1:2" x14ac:dyDescent="0.2">
      <c r="A10" s="39" t="s">
        <v>103</v>
      </c>
      <c r="B10" s="39">
        <v>-2.6035569462189691E-2</v>
      </c>
    </row>
    <row r="11" spans="1:2" x14ac:dyDescent="0.2">
      <c r="A11" s="39" t="s">
        <v>104</v>
      </c>
      <c r="B11" s="39">
        <v>6</v>
      </c>
    </row>
    <row r="12" spans="1:2" x14ac:dyDescent="0.2">
      <c r="A12" s="39" t="s">
        <v>105</v>
      </c>
      <c r="B12" s="39">
        <v>1</v>
      </c>
    </row>
    <row r="13" spans="1:2" x14ac:dyDescent="0.2">
      <c r="A13" s="39" t="s">
        <v>106</v>
      </c>
      <c r="B13" s="39">
        <v>7</v>
      </c>
    </row>
    <row r="14" spans="1:2" x14ac:dyDescent="0.2">
      <c r="A14" s="39" t="s">
        <v>107</v>
      </c>
      <c r="B14" s="39">
        <v>408</v>
      </c>
    </row>
    <row r="15" spans="1:2" x14ac:dyDescent="0.2">
      <c r="A15" s="39" t="s">
        <v>108</v>
      </c>
      <c r="B15" s="39">
        <v>100</v>
      </c>
    </row>
    <row r="16" spans="1:2" x14ac:dyDescent="0.2">
      <c r="A16" s="39" t="s">
        <v>109</v>
      </c>
      <c r="B16" s="39">
        <v>7</v>
      </c>
    </row>
    <row r="17" spans="1:2" ht="17" thickBot="1" x14ac:dyDescent="0.25">
      <c r="A17" s="40" t="s">
        <v>110</v>
      </c>
      <c r="B17" s="40">
        <v>1</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4A163-0042-6142-98BF-9742F662FCEC}">
  <dimension ref="A1:B17"/>
  <sheetViews>
    <sheetView zoomScale="98" zoomScaleNormal="98" workbookViewId="0">
      <selection activeCell="D29" sqref="D29"/>
    </sheetView>
  </sheetViews>
  <sheetFormatPr baseColWidth="10" defaultRowHeight="16" x14ac:dyDescent="0.2"/>
  <cols>
    <col min="1" max="1" width="16.5" customWidth="1"/>
  </cols>
  <sheetData>
    <row r="1" spans="1:2" x14ac:dyDescent="0.2">
      <c r="A1" s="42" t="s">
        <v>29</v>
      </c>
      <c r="B1" s="42"/>
    </row>
    <row r="2" spans="1:2" x14ac:dyDescent="0.2">
      <c r="A2" s="39"/>
      <c r="B2" s="39"/>
    </row>
    <row r="3" spans="1:2" x14ac:dyDescent="0.2">
      <c r="A3" s="39" t="s">
        <v>96</v>
      </c>
      <c r="B3" s="39">
        <v>6156</v>
      </c>
    </row>
    <row r="4" spans="1:2" x14ac:dyDescent="0.2">
      <c r="A4" s="39" t="s">
        <v>97</v>
      </c>
      <c r="B4" s="39">
        <v>111.9733012910676</v>
      </c>
    </row>
    <row r="5" spans="1:2" x14ac:dyDescent="0.2">
      <c r="A5" s="39" t="s">
        <v>98</v>
      </c>
      <c r="B5" s="39">
        <v>6300</v>
      </c>
    </row>
    <row r="6" spans="1:2" x14ac:dyDescent="0.2">
      <c r="A6" s="39" t="s">
        <v>99</v>
      </c>
      <c r="B6" s="39">
        <v>6600</v>
      </c>
    </row>
    <row r="7" spans="1:2" x14ac:dyDescent="0.2">
      <c r="A7" s="39" t="s">
        <v>100</v>
      </c>
      <c r="B7" s="39">
        <v>1119.7330129106761</v>
      </c>
    </row>
    <row r="8" spans="1:2" x14ac:dyDescent="0.2">
      <c r="A8" s="39" t="s">
        <v>101</v>
      </c>
      <c r="B8" s="39">
        <v>1253802.0202020202</v>
      </c>
    </row>
    <row r="9" spans="1:2" x14ac:dyDescent="0.2">
      <c r="A9" s="39" t="s">
        <v>102</v>
      </c>
      <c r="B9" s="39">
        <v>-6.2589723770870798E-2</v>
      </c>
    </row>
    <row r="10" spans="1:2" x14ac:dyDescent="0.2">
      <c r="A10" s="39" t="s">
        <v>103</v>
      </c>
      <c r="B10" s="39">
        <v>-0.35302305336744333</v>
      </c>
    </row>
    <row r="11" spans="1:2" x14ac:dyDescent="0.2">
      <c r="A11" s="39" t="s">
        <v>104</v>
      </c>
      <c r="B11" s="39">
        <v>5200</v>
      </c>
    </row>
    <row r="12" spans="1:2" x14ac:dyDescent="0.2">
      <c r="A12" s="39" t="s">
        <v>105</v>
      </c>
      <c r="B12" s="39">
        <v>3200</v>
      </c>
    </row>
    <row r="13" spans="1:2" x14ac:dyDescent="0.2">
      <c r="A13" s="39" t="s">
        <v>106</v>
      </c>
      <c r="B13" s="39">
        <v>8400</v>
      </c>
    </row>
    <row r="14" spans="1:2" x14ac:dyDescent="0.2">
      <c r="A14" s="39" t="s">
        <v>107</v>
      </c>
      <c r="B14" s="39">
        <v>615600</v>
      </c>
    </row>
    <row r="15" spans="1:2" x14ac:dyDescent="0.2">
      <c r="A15" s="39" t="s">
        <v>108</v>
      </c>
      <c r="B15" s="39">
        <v>100</v>
      </c>
    </row>
    <row r="16" spans="1:2" x14ac:dyDescent="0.2">
      <c r="A16" s="39" t="s">
        <v>109</v>
      </c>
      <c r="B16" s="39">
        <v>8300</v>
      </c>
    </row>
    <row r="17" spans="1:2" ht="17" thickBot="1" x14ac:dyDescent="0.25">
      <c r="A17" s="40" t="s">
        <v>110</v>
      </c>
      <c r="B17" s="40">
        <v>3500</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DB822-4F60-D042-BC95-473A0BA9EA66}">
  <dimension ref="A1:B17"/>
  <sheetViews>
    <sheetView workbookViewId="0">
      <selection activeCell="C30" sqref="C30"/>
    </sheetView>
  </sheetViews>
  <sheetFormatPr baseColWidth="10" defaultRowHeight="16" x14ac:dyDescent="0.2"/>
  <cols>
    <col min="1" max="1" width="19.1640625" customWidth="1"/>
  </cols>
  <sheetData>
    <row r="1" spans="1:2" x14ac:dyDescent="0.2">
      <c r="A1" s="42" t="s">
        <v>111</v>
      </c>
      <c r="B1" s="42"/>
    </row>
    <row r="2" spans="1:2" x14ac:dyDescent="0.2">
      <c r="A2" s="39"/>
      <c r="B2" s="39"/>
    </row>
    <row r="3" spans="1:2" x14ac:dyDescent="0.2">
      <c r="A3" s="39" t="s">
        <v>96</v>
      </c>
      <c r="B3" s="39">
        <v>2.86</v>
      </c>
    </row>
    <row r="4" spans="1:2" x14ac:dyDescent="0.2">
      <c r="A4" s="39" t="s">
        <v>97</v>
      </c>
      <c r="B4" s="39">
        <v>0.10152374454811397</v>
      </c>
    </row>
    <row r="5" spans="1:2" x14ac:dyDescent="0.2">
      <c r="A5" s="39" t="s">
        <v>98</v>
      </c>
      <c r="B5" s="39">
        <v>3</v>
      </c>
    </row>
    <row r="6" spans="1:2" x14ac:dyDescent="0.2">
      <c r="A6" s="39" t="s">
        <v>99</v>
      </c>
      <c r="B6" s="39">
        <v>2</v>
      </c>
    </row>
    <row r="7" spans="1:2" x14ac:dyDescent="0.2">
      <c r="A7" s="39" t="s">
        <v>100</v>
      </c>
      <c r="B7" s="39">
        <v>1.0152374454811397</v>
      </c>
    </row>
    <row r="8" spans="1:2" x14ac:dyDescent="0.2">
      <c r="A8" s="39" t="s">
        <v>101</v>
      </c>
      <c r="B8" s="39">
        <v>1.0307070707070702</v>
      </c>
    </row>
    <row r="9" spans="1:2" x14ac:dyDescent="0.2">
      <c r="A9" s="39" t="s">
        <v>102</v>
      </c>
      <c r="B9" s="39">
        <v>-0.6124410074622797</v>
      </c>
    </row>
    <row r="10" spans="1:2" x14ac:dyDescent="0.2">
      <c r="A10" s="39" t="s">
        <v>103</v>
      </c>
      <c r="B10" s="39">
        <v>0.16874217087784474</v>
      </c>
    </row>
    <row r="11" spans="1:2" x14ac:dyDescent="0.2">
      <c r="A11" s="39" t="s">
        <v>104</v>
      </c>
      <c r="B11" s="39">
        <v>4</v>
      </c>
    </row>
    <row r="12" spans="1:2" x14ac:dyDescent="0.2">
      <c r="A12" s="39" t="s">
        <v>105</v>
      </c>
      <c r="B12" s="39">
        <v>1</v>
      </c>
    </row>
    <row r="13" spans="1:2" x14ac:dyDescent="0.2">
      <c r="A13" s="39" t="s">
        <v>106</v>
      </c>
      <c r="B13" s="39">
        <v>5</v>
      </c>
    </row>
    <row r="14" spans="1:2" x14ac:dyDescent="0.2">
      <c r="A14" s="39" t="s">
        <v>107</v>
      </c>
      <c r="B14" s="39">
        <v>286</v>
      </c>
    </row>
    <row r="15" spans="1:2" x14ac:dyDescent="0.2">
      <c r="A15" s="39" t="s">
        <v>108</v>
      </c>
      <c r="B15" s="39">
        <v>100</v>
      </c>
    </row>
    <row r="16" spans="1:2" x14ac:dyDescent="0.2">
      <c r="A16" s="39" t="s">
        <v>109</v>
      </c>
      <c r="B16" s="39">
        <v>5</v>
      </c>
    </row>
    <row r="17" spans="1:2" ht="17" thickBot="1" x14ac:dyDescent="0.25">
      <c r="A17" s="40" t="s">
        <v>110</v>
      </c>
      <c r="B17" s="40">
        <v>1</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29861-556C-8F44-A81F-F8D205623D65}">
  <dimension ref="A1:B17"/>
  <sheetViews>
    <sheetView workbookViewId="0">
      <selection activeCell="G31" sqref="G31"/>
    </sheetView>
  </sheetViews>
  <sheetFormatPr baseColWidth="10" defaultRowHeight="16" x14ac:dyDescent="0.2"/>
  <cols>
    <col min="1" max="1" width="16.83203125" customWidth="1"/>
  </cols>
  <sheetData>
    <row r="1" spans="1:2" x14ac:dyDescent="0.2">
      <c r="A1" s="42" t="s">
        <v>31</v>
      </c>
      <c r="B1" s="42"/>
    </row>
    <row r="2" spans="1:2" x14ac:dyDescent="0.2">
      <c r="A2" s="39"/>
      <c r="B2" s="39"/>
    </row>
    <row r="3" spans="1:2" x14ac:dyDescent="0.2">
      <c r="A3" s="39" t="s">
        <v>96</v>
      </c>
      <c r="B3" s="39">
        <v>3.72</v>
      </c>
    </row>
    <row r="4" spans="1:2" x14ac:dyDescent="0.2">
      <c r="A4" s="39" t="s">
        <v>97</v>
      </c>
      <c r="B4" s="39">
        <v>6.6787768794937807E-2</v>
      </c>
    </row>
    <row r="5" spans="1:2" x14ac:dyDescent="0.2">
      <c r="A5" s="39" t="s">
        <v>98</v>
      </c>
      <c r="B5" s="39">
        <v>4</v>
      </c>
    </row>
    <row r="6" spans="1:2" x14ac:dyDescent="0.2">
      <c r="A6" s="39" t="s">
        <v>99</v>
      </c>
      <c r="B6" s="39">
        <v>4</v>
      </c>
    </row>
    <row r="7" spans="1:2" x14ac:dyDescent="0.2">
      <c r="A7" s="39" t="s">
        <v>100</v>
      </c>
      <c r="B7" s="39">
        <v>0.66787768794937807</v>
      </c>
    </row>
    <row r="8" spans="1:2" x14ac:dyDescent="0.2">
      <c r="A8" s="39" t="s">
        <v>101</v>
      </c>
      <c r="B8" s="39">
        <v>0.44606060606060688</v>
      </c>
    </row>
    <row r="9" spans="1:2" x14ac:dyDescent="0.2">
      <c r="A9" s="39" t="s">
        <v>102</v>
      </c>
      <c r="B9" s="39">
        <v>9.450832615119964E-2</v>
      </c>
    </row>
    <row r="10" spans="1:2" x14ac:dyDescent="0.2">
      <c r="A10" s="39" t="s">
        <v>103</v>
      </c>
      <c r="B10" s="39">
        <v>-0.23216477813489128</v>
      </c>
    </row>
    <row r="11" spans="1:2" x14ac:dyDescent="0.2">
      <c r="A11" s="39" t="s">
        <v>104</v>
      </c>
      <c r="B11" s="39">
        <v>3</v>
      </c>
    </row>
    <row r="12" spans="1:2" x14ac:dyDescent="0.2">
      <c r="A12" s="39" t="s">
        <v>105</v>
      </c>
      <c r="B12" s="39">
        <v>2</v>
      </c>
    </row>
    <row r="13" spans="1:2" x14ac:dyDescent="0.2">
      <c r="A13" s="39" t="s">
        <v>106</v>
      </c>
      <c r="B13" s="39">
        <v>5</v>
      </c>
    </row>
    <row r="14" spans="1:2" x14ac:dyDescent="0.2">
      <c r="A14" s="39" t="s">
        <v>107</v>
      </c>
      <c r="B14" s="39">
        <v>372</v>
      </c>
    </row>
    <row r="15" spans="1:2" x14ac:dyDescent="0.2">
      <c r="A15" s="39" t="s">
        <v>108</v>
      </c>
      <c r="B15" s="39">
        <v>100</v>
      </c>
    </row>
    <row r="16" spans="1:2" x14ac:dyDescent="0.2">
      <c r="A16" s="39" t="s">
        <v>109</v>
      </c>
      <c r="B16" s="39">
        <v>5</v>
      </c>
    </row>
    <row r="17" spans="1:2" ht="17" thickBot="1" x14ac:dyDescent="0.25">
      <c r="A17" s="40" t="s">
        <v>110</v>
      </c>
      <c r="B17" s="40">
        <v>2</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5307-06C8-2B4B-A7BC-206E1AB600B4}">
  <dimension ref="A1:N123"/>
  <sheetViews>
    <sheetView topLeftCell="A61" zoomScale="73" workbookViewId="0">
      <selection activeCell="E124" sqref="E124"/>
    </sheetView>
  </sheetViews>
  <sheetFormatPr baseColWidth="10" defaultRowHeight="16" x14ac:dyDescent="0.2"/>
  <cols>
    <col min="1" max="1" width="11" customWidth="1"/>
    <col min="2" max="2" width="25.83203125" customWidth="1"/>
    <col min="5" max="5" width="15.33203125" customWidth="1"/>
    <col min="6" max="6" width="18" customWidth="1"/>
    <col min="7" max="7" width="16.33203125" customWidth="1"/>
    <col min="8" max="8" width="25.33203125" customWidth="1"/>
    <col min="9" max="9" width="16.33203125" customWidth="1"/>
    <col min="10" max="10" width="16.1640625" customWidth="1"/>
    <col min="11" max="11" width="15" customWidth="1"/>
    <col min="12" max="12" width="18.33203125" customWidth="1"/>
    <col min="14" max="14" width="15" customWidth="1"/>
  </cols>
  <sheetData>
    <row r="1" spans="1:14" x14ac:dyDescent="0.2">
      <c r="A1" s="15" t="s">
        <v>81</v>
      </c>
      <c r="B1" s="7"/>
      <c r="C1" s="7"/>
      <c r="D1" s="7"/>
      <c r="E1" s="7"/>
      <c r="F1" s="7"/>
      <c r="G1" s="7"/>
      <c r="H1" s="7"/>
      <c r="I1" s="7"/>
      <c r="J1" s="7"/>
      <c r="K1" s="7"/>
      <c r="L1" s="7"/>
      <c r="M1" s="7"/>
      <c r="N1" s="7"/>
    </row>
    <row r="3" spans="1:14" x14ac:dyDescent="0.2">
      <c r="A3" s="17" t="s">
        <v>59</v>
      </c>
      <c r="B3" s="17" t="s">
        <v>18</v>
      </c>
      <c r="C3" s="17" t="s">
        <v>20</v>
      </c>
      <c r="D3" s="17" t="s">
        <v>23</v>
      </c>
      <c r="E3" s="17" t="s">
        <v>25</v>
      </c>
      <c r="F3" s="17" t="s">
        <v>26</v>
      </c>
      <c r="G3" s="17" t="s">
        <v>27</v>
      </c>
      <c r="H3" s="17" t="s">
        <v>60</v>
      </c>
      <c r="I3" s="17" t="s">
        <v>29</v>
      </c>
      <c r="J3" s="17" t="s">
        <v>30</v>
      </c>
      <c r="K3" s="17" t="s">
        <v>31</v>
      </c>
      <c r="L3" s="17" t="s">
        <v>61</v>
      </c>
      <c r="M3" s="17" t="s">
        <v>82</v>
      </c>
      <c r="N3" s="17" t="s">
        <v>83</v>
      </c>
    </row>
    <row r="4" spans="1:14" ht="17" x14ac:dyDescent="0.2">
      <c r="A4" s="25">
        <v>1</v>
      </c>
      <c r="B4" s="25">
        <v>38</v>
      </c>
      <c r="C4" s="26" t="s">
        <v>22</v>
      </c>
      <c r="D4" s="27" t="s">
        <v>64</v>
      </c>
      <c r="E4" s="25">
        <v>91000</v>
      </c>
      <c r="F4" s="27" t="s">
        <v>71</v>
      </c>
      <c r="G4" s="27" t="s">
        <v>72</v>
      </c>
      <c r="H4" s="25">
        <v>5</v>
      </c>
      <c r="I4" s="25">
        <v>5000</v>
      </c>
      <c r="J4" s="25">
        <v>2</v>
      </c>
      <c r="K4" s="25">
        <v>4</v>
      </c>
      <c r="L4" s="25">
        <v>4</v>
      </c>
      <c r="M4" s="26" t="str">
        <f t="shared" ref="M4:M67" si="0">IF(B4&lt;=24,"18-24",IF(B4&lt;=30,"25-30",IF(B4&lt;=36,"31-36","37-45")))</f>
        <v>37-45</v>
      </c>
      <c r="N4" s="26" t="str">
        <f t="shared" ref="N4:N67" si="1">IF(E4&lt;50000,"Low",IF(E4&lt;90000,"Middle","High"))</f>
        <v>High</v>
      </c>
    </row>
    <row r="5" spans="1:14" ht="17" x14ac:dyDescent="0.2">
      <c r="A5" s="19">
        <v>2</v>
      </c>
      <c r="B5" s="19">
        <v>20</v>
      </c>
      <c r="C5" s="21" t="s">
        <v>22</v>
      </c>
      <c r="D5" s="3" t="s">
        <v>65</v>
      </c>
      <c r="E5" s="19">
        <v>54000</v>
      </c>
      <c r="F5" s="3" t="s">
        <v>43</v>
      </c>
      <c r="G5" s="3" t="s">
        <v>72</v>
      </c>
      <c r="H5" s="19">
        <v>4</v>
      </c>
      <c r="I5" s="19">
        <v>4800</v>
      </c>
      <c r="J5" s="19">
        <v>4</v>
      </c>
      <c r="K5" s="19">
        <v>3</v>
      </c>
      <c r="L5" s="19">
        <v>5</v>
      </c>
      <c r="M5" s="21" t="str">
        <f t="shared" si="0"/>
        <v>18-24</v>
      </c>
      <c r="N5" s="21" t="str">
        <f t="shared" si="1"/>
        <v>Middle</v>
      </c>
    </row>
    <row r="6" spans="1:14" ht="17" x14ac:dyDescent="0.2">
      <c r="A6" s="25">
        <v>3</v>
      </c>
      <c r="B6" s="25">
        <v>18</v>
      </c>
      <c r="C6" s="26" t="s">
        <v>62</v>
      </c>
      <c r="D6" s="27" t="s">
        <v>42</v>
      </c>
      <c r="E6" s="25">
        <v>62000</v>
      </c>
      <c r="F6" s="27" t="s">
        <v>43</v>
      </c>
      <c r="G6" s="27" t="s">
        <v>44</v>
      </c>
      <c r="H6" s="25">
        <v>7</v>
      </c>
      <c r="I6" s="25">
        <v>4700</v>
      </c>
      <c r="J6" s="25">
        <v>4</v>
      </c>
      <c r="K6" s="25">
        <v>4</v>
      </c>
      <c r="L6" s="25">
        <v>4</v>
      </c>
      <c r="M6" s="26" t="str">
        <f t="shared" si="0"/>
        <v>18-24</v>
      </c>
      <c r="N6" s="26" t="str">
        <f t="shared" si="1"/>
        <v>Middle</v>
      </c>
    </row>
    <row r="7" spans="1:14" ht="17" x14ac:dyDescent="0.2">
      <c r="A7" s="19">
        <v>4</v>
      </c>
      <c r="B7" s="19">
        <v>45</v>
      </c>
      <c r="C7" s="21" t="s">
        <v>22</v>
      </c>
      <c r="D7" s="3" t="s">
        <v>66</v>
      </c>
      <c r="E7" s="19">
        <v>100000</v>
      </c>
      <c r="F7" s="3" t="s">
        <v>43</v>
      </c>
      <c r="G7" s="3" t="s">
        <v>72</v>
      </c>
      <c r="H7" s="19">
        <v>4</v>
      </c>
      <c r="I7" s="19">
        <v>7500</v>
      </c>
      <c r="J7" s="19">
        <v>2</v>
      </c>
      <c r="K7" s="19">
        <v>5</v>
      </c>
      <c r="L7" s="19">
        <v>5</v>
      </c>
      <c r="M7" s="21" t="str">
        <f t="shared" si="0"/>
        <v>37-45</v>
      </c>
      <c r="N7" s="21" t="str">
        <f t="shared" si="1"/>
        <v>High</v>
      </c>
    </row>
    <row r="8" spans="1:14" ht="17" x14ac:dyDescent="0.2">
      <c r="A8" s="25">
        <v>5</v>
      </c>
      <c r="B8" s="25">
        <v>37</v>
      </c>
      <c r="C8" s="26" t="s">
        <v>62</v>
      </c>
      <c r="D8" s="27" t="s">
        <v>66</v>
      </c>
      <c r="E8" s="25">
        <v>91000</v>
      </c>
      <c r="F8" s="27" t="s">
        <v>43</v>
      </c>
      <c r="G8" s="27" t="s">
        <v>44</v>
      </c>
      <c r="H8" s="25">
        <v>4</v>
      </c>
      <c r="I8" s="25">
        <v>6000</v>
      </c>
      <c r="J8" s="25">
        <v>3</v>
      </c>
      <c r="K8" s="25">
        <v>4</v>
      </c>
      <c r="L8" s="25">
        <v>5</v>
      </c>
      <c r="M8" s="26" t="str">
        <f t="shared" si="0"/>
        <v>37-45</v>
      </c>
      <c r="N8" s="26" t="str">
        <f t="shared" si="1"/>
        <v>High</v>
      </c>
    </row>
    <row r="9" spans="1:14" ht="17" x14ac:dyDescent="0.2">
      <c r="A9" s="19">
        <v>6</v>
      </c>
      <c r="B9" s="19">
        <v>30</v>
      </c>
      <c r="C9" s="21" t="s">
        <v>22</v>
      </c>
      <c r="D9" s="3" t="s">
        <v>65</v>
      </c>
      <c r="E9" s="19">
        <v>83000</v>
      </c>
      <c r="F9" s="3" t="s">
        <v>73</v>
      </c>
      <c r="G9" s="3" t="s">
        <v>44</v>
      </c>
      <c r="H9" s="19">
        <v>3</v>
      </c>
      <c r="I9" s="19">
        <v>7100</v>
      </c>
      <c r="J9" s="19">
        <v>2</v>
      </c>
      <c r="K9" s="19">
        <v>4</v>
      </c>
      <c r="L9" s="19">
        <v>5</v>
      </c>
      <c r="M9" s="21" t="str">
        <f t="shared" si="0"/>
        <v>25-30</v>
      </c>
      <c r="N9" s="21" t="str">
        <f t="shared" si="1"/>
        <v>Middle</v>
      </c>
    </row>
    <row r="10" spans="1:14" ht="17" x14ac:dyDescent="0.2">
      <c r="A10" s="25">
        <v>7</v>
      </c>
      <c r="B10" s="25">
        <v>23</v>
      </c>
      <c r="C10" s="26" t="s">
        <v>62</v>
      </c>
      <c r="D10" s="27" t="s">
        <v>66</v>
      </c>
      <c r="E10" s="25">
        <v>75000</v>
      </c>
      <c r="F10" s="27" t="s">
        <v>74</v>
      </c>
      <c r="G10" s="27" t="s">
        <v>72</v>
      </c>
      <c r="H10" s="25">
        <v>4</v>
      </c>
      <c r="I10" s="25">
        <v>5200</v>
      </c>
      <c r="J10" s="25">
        <v>4</v>
      </c>
      <c r="K10" s="25">
        <v>3</v>
      </c>
      <c r="L10" s="25">
        <v>5</v>
      </c>
      <c r="M10" s="26" t="str">
        <f t="shared" si="0"/>
        <v>18-24</v>
      </c>
      <c r="N10" s="26" t="str">
        <f t="shared" si="1"/>
        <v>Middle</v>
      </c>
    </row>
    <row r="11" spans="1:14" ht="17" x14ac:dyDescent="0.2">
      <c r="A11" s="19">
        <v>8</v>
      </c>
      <c r="B11" s="19">
        <v>42</v>
      </c>
      <c r="C11" s="21" t="s">
        <v>22</v>
      </c>
      <c r="D11" s="3" t="s">
        <v>64</v>
      </c>
      <c r="E11" s="19">
        <v>117000</v>
      </c>
      <c r="F11" s="3" t="s">
        <v>71</v>
      </c>
      <c r="G11" s="3" t="s">
        <v>72</v>
      </c>
      <c r="H11" s="19">
        <v>4</v>
      </c>
      <c r="I11" s="19">
        <v>7900</v>
      </c>
      <c r="J11" s="19">
        <v>2</v>
      </c>
      <c r="K11" s="19">
        <v>4</v>
      </c>
      <c r="L11" s="19">
        <v>4</v>
      </c>
      <c r="M11" s="21" t="str">
        <f t="shared" si="0"/>
        <v>37-45</v>
      </c>
      <c r="N11" s="21" t="str">
        <f t="shared" si="1"/>
        <v>High</v>
      </c>
    </row>
    <row r="12" spans="1:14" ht="17" x14ac:dyDescent="0.2">
      <c r="A12" s="25">
        <v>9</v>
      </c>
      <c r="B12" s="25">
        <v>33</v>
      </c>
      <c r="C12" s="26" t="s">
        <v>22</v>
      </c>
      <c r="D12" s="27" t="s">
        <v>67</v>
      </c>
      <c r="E12" s="25">
        <v>88000</v>
      </c>
      <c r="F12" s="27" t="s">
        <v>74</v>
      </c>
      <c r="G12" s="27" t="s">
        <v>44</v>
      </c>
      <c r="H12" s="25">
        <v>6</v>
      </c>
      <c r="I12" s="25">
        <v>5900</v>
      </c>
      <c r="J12" s="25">
        <v>2</v>
      </c>
      <c r="K12" s="25">
        <v>4</v>
      </c>
      <c r="L12" s="25">
        <v>5</v>
      </c>
      <c r="M12" s="26" t="str">
        <f t="shared" si="0"/>
        <v>31-36</v>
      </c>
      <c r="N12" s="26" t="str">
        <f t="shared" si="1"/>
        <v>Middle</v>
      </c>
    </row>
    <row r="13" spans="1:14" ht="17" x14ac:dyDescent="0.2">
      <c r="A13" s="19">
        <v>10</v>
      </c>
      <c r="B13" s="19">
        <v>30</v>
      </c>
      <c r="C13" s="21" t="s">
        <v>22</v>
      </c>
      <c r="D13" s="3" t="s">
        <v>67</v>
      </c>
      <c r="E13" s="19">
        <v>73000</v>
      </c>
      <c r="F13" s="3" t="s">
        <v>76</v>
      </c>
      <c r="G13" s="3" t="s">
        <v>44</v>
      </c>
      <c r="H13" s="19">
        <v>3</v>
      </c>
      <c r="I13" s="19">
        <v>5200</v>
      </c>
      <c r="J13" s="19">
        <v>3</v>
      </c>
      <c r="K13" s="19">
        <v>3</v>
      </c>
      <c r="L13" s="19">
        <v>5</v>
      </c>
      <c r="M13" s="21" t="str">
        <f t="shared" si="0"/>
        <v>25-30</v>
      </c>
      <c r="N13" s="21" t="str">
        <f t="shared" si="1"/>
        <v>Middle</v>
      </c>
    </row>
    <row r="14" spans="1:14" ht="17" x14ac:dyDescent="0.2">
      <c r="A14" s="25">
        <v>11</v>
      </c>
      <c r="B14" s="25">
        <v>31</v>
      </c>
      <c r="C14" s="26" t="s">
        <v>62</v>
      </c>
      <c r="D14" s="27" t="s">
        <v>66</v>
      </c>
      <c r="E14" s="25">
        <v>93000</v>
      </c>
      <c r="F14" s="27" t="s">
        <v>71</v>
      </c>
      <c r="G14" s="27" t="s">
        <v>44</v>
      </c>
      <c r="H14" s="25">
        <v>3</v>
      </c>
      <c r="I14" s="25">
        <v>5600</v>
      </c>
      <c r="J14" s="25">
        <v>4</v>
      </c>
      <c r="K14" s="25">
        <v>5</v>
      </c>
      <c r="L14" s="25">
        <v>5</v>
      </c>
      <c r="M14" s="26" t="str">
        <f t="shared" si="0"/>
        <v>31-36</v>
      </c>
      <c r="N14" s="26" t="str">
        <f t="shared" si="1"/>
        <v>High</v>
      </c>
    </row>
    <row r="15" spans="1:14" ht="17" x14ac:dyDescent="0.2">
      <c r="A15" s="19">
        <v>12</v>
      </c>
      <c r="B15" s="19">
        <v>35</v>
      </c>
      <c r="C15" s="21" t="s">
        <v>62</v>
      </c>
      <c r="D15" s="3" t="s">
        <v>64</v>
      </c>
      <c r="E15" s="19">
        <v>89000</v>
      </c>
      <c r="F15" s="3" t="s">
        <v>71</v>
      </c>
      <c r="G15" s="3" t="s">
        <v>72</v>
      </c>
      <c r="H15" s="19">
        <v>3</v>
      </c>
      <c r="I15" s="19">
        <v>6300</v>
      </c>
      <c r="J15" s="19">
        <v>2</v>
      </c>
      <c r="K15" s="19">
        <v>3</v>
      </c>
      <c r="L15" s="19">
        <v>5</v>
      </c>
      <c r="M15" s="21" t="str">
        <f t="shared" si="0"/>
        <v>31-36</v>
      </c>
      <c r="N15" s="21" t="str">
        <f t="shared" si="1"/>
        <v>Middle</v>
      </c>
    </row>
    <row r="16" spans="1:14" ht="17" x14ac:dyDescent="0.2">
      <c r="A16" s="25">
        <v>13</v>
      </c>
      <c r="B16" s="25">
        <v>42</v>
      </c>
      <c r="C16" s="26" t="s">
        <v>22</v>
      </c>
      <c r="D16" s="27" t="s">
        <v>67</v>
      </c>
      <c r="E16" s="25">
        <v>110000</v>
      </c>
      <c r="F16" s="27" t="s">
        <v>76</v>
      </c>
      <c r="G16" s="27" t="s">
        <v>72</v>
      </c>
      <c r="H16" s="25">
        <v>3</v>
      </c>
      <c r="I16" s="25">
        <v>7300</v>
      </c>
      <c r="J16" s="25">
        <v>1</v>
      </c>
      <c r="K16" s="25">
        <v>4</v>
      </c>
      <c r="L16" s="25">
        <v>4</v>
      </c>
      <c r="M16" s="26" t="str">
        <f t="shared" si="0"/>
        <v>37-45</v>
      </c>
      <c r="N16" s="26" t="str">
        <f t="shared" si="1"/>
        <v>High</v>
      </c>
    </row>
    <row r="17" spans="1:14" ht="17" x14ac:dyDescent="0.2">
      <c r="A17" s="19">
        <v>14</v>
      </c>
      <c r="B17" s="19">
        <v>42</v>
      </c>
      <c r="C17" s="21" t="s">
        <v>62</v>
      </c>
      <c r="D17" s="3" t="s">
        <v>67</v>
      </c>
      <c r="E17" s="19">
        <v>109000</v>
      </c>
      <c r="F17" s="3" t="s">
        <v>71</v>
      </c>
      <c r="G17" s="3" t="s">
        <v>44</v>
      </c>
      <c r="H17" s="19">
        <v>5</v>
      </c>
      <c r="I17" s="19">
        <v>7700</v>
      </c>
      <c r="J17" s="19">
        <v>2</v>
      </c>
      <c r="K17" s="19">
        <v>5</v>
      </c>
      <c r="L17" s="19">
        <v>5</v>
      </c>
      <c r="M17" s="21" t="str">
        <f t="shared" si="0"/>
        <v>37-45</v>
      </c>
      <c r="N17" s="21" t="str">
        <f t="shared" si="1"/>
        <v>High</v>
      </c>
    </row>
    <row r="18" spans="1:14" ht="17" x14ac:dyDescent="0.2">
      <c r="A18" s="25">
        <v>15</v>
      </c>
      <c r="B18" s="25">
        <v>25</v>
      </c>
      <c r="C18" s="26" t="s">
        <v>62</v>
      </c>
      <c r="D18" s="27" t="s">
        <v>67</v>
      </c>
      <c r="E18" s="25">
        <v>62000</v>
      </c>
      <c r="F18" s="27" t="s">
        <v>74</v>
      </c>
      <c r="G18" s="27" t="s">
        <v>72</v>
      </c>
      <c r="H18" s="25">
        <v>4</v>
      </c>
      <c r="I18" s="25">
        <v>3700</v>
      </c>
      <c r="J18" s="25">
        <v>4</v>
      </c>
      <c r="K18" s="25">
        <v>4</v>
      </c>
      <c r="L18" s="25">
        <v>5</v>
      </c>
      <c r="M18" s="26" t="str">
        <f t="shared" si="0"/>
        <v>25-30</v>
      </c>
      <c r="N18" s="26" t="str">
        <f t="shared" si="1"/>
        <v>Middle</v>
      </c>
    </row>
    <row r="19" spans="1:14" ht="17" x14ac:dyDescent="0.2">
      <c r="A19" s="19">
        <v>16</v>
      </c>
      <c r="B19" s="19">
        <v>35</v>
      </c>
      <c r="C19" s="21" t="s">
        <v>22</v>
      </c>
      <c r="D19" s="3" t="s">
        <v>65</v>
      </c>
      <c r="E19" s="19">
        <v>100000</v>
      </c>
      <c r="F19" s="3" t="s">
        <v>73</v>
      </c>
      <c r="G19" s="3" t="s">
        <v>44</v>
      </c>
      <c r="H19" s="19">
        <v>5</v>
      </c>
      <c r="I19" s="19">
        <v>7000</v>
      </c>
      <c r="J19" s="19">
        <v>2</v>
      </c>
      <c r="K19" s="19">
        <v>4</v>
      </c>
      <c r="L19" s="19">
        <v>5</v>
      </c>
      <c r="M19" s="21" t="str">
        <f t="shared" si="0"/>
        <v>31-36</v>
      </c>
      <c r="N19" s="21" t="str">
        <f t="shared" si="1"/>
        <v>High</v>
      </c>
    </row>
    <row r="20" spans="1:14" ht="17" x14ac:dyDescent="0.2">
      <c r="A20" s="25">
        <v>17</v>
      </c>
      <c r="B20" s="25">
        <v>39</v>
      </c>
      <c r="C20" s="26" t="s">
        <v>62</v>
      </c>
      <c r="D20" s="27" t="s">
        <v>66</v>
      </c>
      <c r="E20" s="25">
        <v>105000</v>
      </c>
      <c r="F20" s="27" t="s">
        <v>76</v>
      </c>
      <c r="G20" s="27" t="s">
        <v>44</v>
      </c>
      <c r="H20" s="25">
        <v>4</v>
      </c>
      <c r="I20" s="25">
        <v>6800</v>
      </c>
      <c r="J20" s="25">
        <v>2</v>
      </c>
      <c r="K20" s="25">
        <v>4</v>
      </c>
      <c r="L20" s="25">
        <v>5</v>
      </c>
      <c r="M20" s="26" t="str">
        <f t="shared" si="0"/>
        <v>37-45</v>
      </c>
      <c r="N20" s="26" t="str">
        <f t="shared" si="1"/>
        <v>High</v>
      </c>
    </row>
    <row r="21" spans="1:14" ht="17" x14ac:dyDescent="0.2">
      <c r="A21" s="19">
        <v>18</v>
      </c>
      <c r="B21" s="19">
        <v>18</v>
      </c>
      <c r="C21" s="21" t="s">
        <v>22</v>
      </c>
      <c r="D21" s="3" t="s">
        <v>65</v>
      </c>
      <c r="E21" s="19">
        <v>57000</v>
      </c>
      <c r="F21" s="3" t="s">
        <v>74</v>
      </c>
      <c r="G21" s="3" t="s">
        <v>44</v>
      </c>
      <c r="H21" s="19">
        <v>6</v>
      </c>
      <c r="I21" s="19">
        <v>3500</v>
      </c>
      <c r="J21" s="19">
        <v>4</v>
      </c>
      <c r="K21" s="19">
        <v>3</v>
      </c>
      <c r="L21" s="19">
        <v>4</v>
      </c>
      <c r="M21" s="21" t="str">
        <f t="shared" si="0"/>
        <v>18-24</v>
      </c>
      <c r="N21" s="21" t="str">
        <f t="shared" si="1"/>
        <v>Middle</v>
      </c>
    </row>
    <row r="22" spans="1:14" ht="17" x14ac:dyDescent="0.2">
      <c r="A22" s="25">
        <v>19</v>
      </c>
      <c r="B22" s="25">
        <v>22</v>
      </c>
      <c r="C22" s="26" t="s">
        <v>62</v>
      </c>
      <c r="D22" s="27" t="s">
        <v>67</v>
      </c>
      <c r="E22" s="25">
        <v>72000</v>
      </c>
      <c r="F22" s="27" t="s">
        <v>43</v>
      </c>
      <c r="G22" s="27" t="s">
        <v>72</v>
      </c>
      <c r="H22" s="25">
        <v>6</v>
      </c>
      <c r="I22" s="25">
        <v>5200</v>
      </c>
      <c r="J22" s="25">
        <v>4</v>
      </c>
      <c r="K22" s="25">
        <v>4</v>
      </c>
      <c r="L22" s="25">
        <v>5</v>
      </c>
      <c r="M22" s="26" t="str">
        <f t="shared" si="0"/>
        <v>18-24</v>
      </c>
      <c r="N22" s="26" t="str">
        <f t="shared" si="1"/>
        <v>Middle</v>
      </c>
    </row>
    <row r="23" spans="1:14" ht="17" x14ac:dyDescent="0.2">
      <c r="A23" s="19">
        <v>20</v>
      </c>
      <c r="B23" s="19">
        <v>31</v>
      </c>
      <c r="C23" s="21" t="s">
        <v>22</v>
      </c>
      <c r="D23" s="3" t="s">
        <v>64</v>
      </c>
      <c r="E23" s="19">
        <v>93000</v>
      </c>
      <c r="F23" s="3" t="s">
        <v>73</v>
      </c>
      <c r="G23" s="3" t="s">
        <v>72</v>
      </c>
      <c r="H23" s="19">
        <v>1</v>
      </c>
      <c r="I23" s="19">
        <v>7800</v>
      </c>
      <c r="J23" s="19">
        <v>3</v>
      </c>
      <c r="K23" s="19">
        <v>3</v>
      </c>
      <c r="L23" s="19">
        <v>4</v>
      </c>
      <c r="M23" s="21" t="str">
        <f t="shared" si="0"/>
        <v>31-36</v>
      </c>
      <c r="N23" s="21" t="str">
        <f t="shared" si="1"/>
        <v>High</v>
      </c>
    </row>
    <row r="24" spans="1:14" ht="17" x14ac:dyDescent="0.2">
      <c r="A24" s="25">
        <v>21</v>
      </c>
      <c r="B24" s="25">
        <v>24</v>
      </c>
      <c r="C24" s="26" t="s">
        <v>62</v>
      </c>
      <c r="D24" s="27" t="s">
        <v>42</v>
      </c>
      <c r="E24" s="25">
        <v>65000</v>
      </c>
      <c r="F24" s="27" t="s">
        <v>43</v>
      </c>
      <c r="G24" s="27" t="s">
        <v>44</v>
      </c>
      <c r="H24" s="25">
        <v>4</v>
      </c>
      <c r="I24" s="25">
        <v>6300</v>
      </c>
      <c r="J24" s="25">
        <v>3</v>
      </c>
      <c r="K24" s="25">
        <v>4</v>
      </c>
      <c r="L24" s="25">
        <v>4</v>
      </c>
      <c r="M24" s="26" t="str">
        <f t="shared" si="0"/>
        <v>18-24</v>
      </c>
      <c r="N24" s="26" t="str">
        <f t="shared" si="1"/>
        <v>Middle</v>
      </c>
    </row>
    <row r="25" spans="1:14" ht="17" x14ac:dyDescent="0.2">
      <c r="A25" s="19">
        <v>22</v>
      </c>
      <c r="B25" s="19">
        <v>35</v>
      </c>
      <c r="C25" s="21" t="s">
        <v>62</v>
      </c>
      <c r="D25" s="3" t="s">
        <v>67</v>
      </c>
      <c r="E25" s="19">
        <v>102000</v>
      </c>
      <c r="F25" s="3" t="s">
        <v>43</v>
      </c>
      <c r="G25" s="3" t="s">
        <v>44</v>
      </c>
      <c r="H25" s="19">
        <v>3</v>
      </c>
      <c r="I25" s="19">
        <v>7200</v>
      </c>
      <c r="J25" s="19">
        <v>3</v>
      </c>
      <c r="K25" s="19">
        <v>4</v>
      </c>
      <c r="L25" s="19">
        <v>5</v>
      </c>
      <c r="M25" s="21" t="str">
        <f t="shared" si="0"/>
        <v>31-36</v>
      </c>
      <c r="N25" s="21" t="str">
        <f t="shared" si="1"/>
        <v>High</v>
      </c>
    </row>
    <row r="26" spans="1:14" ht="17" x14ac:dyDescent="0.2">
      <c r="A26" s="25">
        <v>23</v>
      </c>
      <c r="B26" s="25">
        <v>18</v>
      </c>
      <c r="C26" s="26" t="s">
        <v>63</v>
      </c>
      <c r="D26" s="27" t="s">
        <v>66</v>
      </c>
      <c r="E26" s="25">
        <v>76000</v>
      </c>
      <c r="F26" s="27" t="s">
        <v>73</v>
      </c>
      <c r="G26" s="27" t="s">
        <v>44</v>
      </c>
      <c r="H26" s="25">
        <v>7</v>
      </c>
      <c r="I26" s="25">
        <v>7500</v>
      </c>
      <c r="J26" s="25">
        <v>5</v>
      </c>
      <c r="K26" s="25">
        <v>4</v>
      </c>
      <c r="L26" s="25">
        <v>5</v>
      </c>
      <c r="M26" s="26" t="str">
        <f t="shared" si="0"/>
        <v>18-24</v>
      </c>
      <c r="N26" s="26" t="str">
        <f t="shared" si="1"/>
        <v>Middle</v>
      </c>
    </row>
    <row r="27" spans="1:14" ht="17" x14ac:dyDescent="0.2">
      <c r="A27" s="19">
        <v>24</v>
      </c>
      <c r="B27" s="19">
        <v>27</v>
      </c>
      <c r="C27" s="21" t="s">
        <v>22</v>
      </c>
      <c r="D27" s="3" t="s">
        <v>42</v>
      </c>
      <c r="E27" s="19">
        <v>89000</v>
      </c>
      <c r="F27" s="3" t="s">
        <v>74</v>
      </c>
      <c r="G27" s="3" t="s">
        <v>72</v>
      </c>
      <c r="H27" s="19">
        <v>3</v>
      </c>
      <c r="I27" s="19">
        <v>5400</v>
      </c>
      <c r="J27" s="19">
        <v>3</v>
      </c>
      <c r="K27" s="19">
        <v>3</v>
      </c>
      <c r="L27" s="19">
        <v>4</v>
      </c>
      <c r="M27" s="21" t="str">
        <f t="shared" si="0"/>
        <v>25-30</v>
      </c>
      <c r="N27" s="21" t="str">
        <f t="shared" si="1"/>
        <v>Middle</v>
      </c>
    </row>
    <row r="28" spans="1:14" ht="17" x14ac:dyDescent="0.2">
      <c r="A28" s="25">
        <v>25</v>
      </c>
      <c r="B28" s="25">
        <v>34</v>
      </c>
      <c r="C28" s="26" t="s">
        <v>22</v>
      </c>
      <c r="D28" s="27" t="s">
        <v>42</v>
      </c>
      <c r="E28" s="25">
        <v>97000</v>
      </c>
      <c r="F28" s="27" t="s">
        <v>71</v>
      </c>
      <c r="G28" s="27" t="s">
        <v>72</v>
      </c>
      <c r="H28" s="25">
        <v>2</v>
      </c>
      <c r="I28" s="25">
        <v>6000</v>
      </c>
      <c r="J28" s="25">
        <v>2</v>
      </c>
      <c r="K28" s="25">
        <v>3</v>
      </c>
      <c r="L28" s="25">
        <v>4</v>
      </c>
      <c r="M28" s="26" t="str">
        <f t="shared" si="0"/>
        <v>31-36</v>
      </c>
      <c r="N28" s="26" t="str">
        <f t="shared" si="1"/>
        <v>High</v>
      </c>
    </row>
    <row r="29" spans="1:14" ht="17" x14ac:dyDescent="0.2">
      <c r="A29" s="19">
        <v>26</v>
      </c>
      <c r="B29" s="19">
        <v>19</v>
      </c>
      <c r="C29" s="21" t="s">
        <v>62</v>
      </c>
      <c r="D29" s="3" t="s">
        <v>66</v>
      </c>
      <c r="E29" s="19">
        <v>71000</v>
      </c>
      <c r="F29" s="3" t="s">
        <v>73</v>
      </c>
      <c r="G29" s="3" t="s">
        <v>44</v>
      </c>
      <c r="H29" s="19">
        <v>4</v>
      </c>
      <c r="I29" s="19">
        <v>5900</v>
      </c>
      <c r="J29" s="19">
        <v>4</v>
      </c>
      <c r="K29" s="19">
        <v>3</v>
      </c>
      <c r="L29" s="19">
        <v>4</v>
      </c>
      <c r="M29" s="21" t="str">
        <f t="shared" si="0"/>
        <v>18-24</v>
      </c>
      <c r="N29" s="21" t="str">
        <f t="shared" si="1"/>
        <v>Middle</v>
      </c>
    </row>
    <row r="30" spans="1:14" ht="17" x14ac:dyDescent="0.2">
      <c r="A30" s="25">
        <v>27</v>
      </c>
      <c r="B30" s="25">
        <v>22</v>
      </c>
      <c r="C30" s="26" t="s">
        <v>62</v>
      </c>
      <c r="D30" s="27" t="s">
        <v>66</v>
      </c>
      <c r="E30" s="25">
        <v>68000</v>
      </c>
      <c r="F30" s="27" t="s">
        <v>74</v>
      </c>
      <c r="G30" s="27" t="s">
        <v>72</v>
      </c>
      <c r="H30" s="25">
        <v>2</v>
      </c>
      <c r="I30" s="25">
        <v>4400</v>
      </c>
      <c r="J30" s="25">
        <v>4</v>
      </c>
      <c r="K30" s="25">
        <v>2</v>
      </c>
      <c r="L30" s="25">
        <v>3</v>
      </c>
      <c r="M30" s="26" t="str">
        <f t="shared" si="0"/>
        <v>18-24</v>
      </c>
      <c r="N30" s="26" t="str">
        <f t="shared" si="1"/>
        <v>Middle</v>
      </c>
    </row>
    <row r="31" spans="1:14" ht="17" x14ac:dyDescent="0.2">
      <c r="A31" s="19">
        <v>28</v>
      </c>
      <c r="B31" s="19">
        <v>24</v>
      </c>
      <c r="C31" s="21" t="s">
        <v>22</v>
      </c>
      <c r="D31" s="3" t="s">
        <v>42</v>
      </c>
      <c r="E31" s="19">
        <v>71000</v>
      </c>
      <c r="F31" s="3" t="s">
        <v>76</v>
      </c>
      <c r="G31" s="3" t="s">
        <v>72</v>
      </c>
      <c r="H31" s="19">
        <v>4</v>
      </c>
      <c r="I31" s="19">
        <v>5700</v>
      </c>
      <c r="J31" s="19">
        <v>4</v>
      </c>
      <c r="K31" s="19">
        <v>3</v>
      </c>
      <c r="L31" s="19">
        <v>5</v>
      </c>
      <c r="M31" s="21" t="str">
        <f t="shared" si="0"/>
        <v>18-24</v>
      </c>
      <c r="N31" s="21" t="str">
        <f t="shared" si="1"/>
        <v>Middle</v>
      </c>
    </row>
    <row r="32" spans="1:14" ht="17" x14ac:dyDescent="0.2">
      <c r="A32" s="25">
        <v>29</v>
      </c>
      <c r="B32" s="25">
        <v>43</v>
      </c>
      <c r="C32" s="26" t="s">
        <v>62</v>
      </c>
      <c r="D32" s="27" t="s">
        <v>42</v>
      </c>
      <c r="E32" s="25">
        <v>120000</v>
      </c>
      <c r="F32" s="27" t="s">
        <v>71</v>
      </c>
      <c r="G32" s="27" t="s">
        <v>72</v>
      </c>
      <c r="H32" s="25">
        <v>1</v>
      </c>
      <c r="I32" s="25">
        <v>6600</v>
      </c>
      <c r="J32" s="25">
        <v>3</v>
      </c>
      <c r="K32" s="25">
        <v>3</v>
      </c>
      <c r="L32" s="25">
        <v>5</v>
      </c>
      <c r="M32" s="26" t="str">
        <f t="shared" si="0"/>
        <v>37-45</v>
      </c>
      <c r="N32" s="26" t="str">
        <f t="shared" si="1"/>
        <v>High</v>
      </c>
    </row>
    <row r="33" spans="1:14" ht="17" x14ac:dyDescent="0.2">
      <c r="A33" s="19">
        <v>30</v>
      </c>
      <c r="B33" s="19">
        <v>41</v>
      </c>
      <c r="C33" s="21" t="s">
        <v>62</v>
      </c>
      <c r="D33" s="3" t="s">
        <v>66</v>
      </c>
      <c r="E33" s="19">
        <v>112000</v>
      </c>
      <c r="F33" s="3" t="s">
        <v>71</v>
      </c>
      <c r="G33" s="3" t="s">
        <v>72</v>
      </c>
      <c r="H33" s="19">
        <v>5</v>
      </c>
      <c r="I33" s="19">
        <v>6700</v>
      </c>
      <c r="J33" s="19">
        <v>1</v>
      </c>
      <c r="K33" s="19">
        <v>4</v>
      </c>
      <c r="L33" s="19">
        <v>4</v>
      </c>
      <c r="M33" s="21" t="str">
        <f t="shared" si="0"/>
        <v>37-45</v>
      </c>
      <c r="N33" s="21" t="str">
        <f t="shared" si="1"/>
        <v>High</v>
      </c>
    </row>
    <row r="34" spans="1:14" ht="17" x14ac:dyDescent="0.2">
      <c r="A34" s="25">
        <v>31</v>
      </c>
      <c r="B34" s="25">
        <v>45</v>
      </c>
      <c r="C34" s="26" t="s">
        <v>22</v>
      </c>
      <c r="D34" s="27" t="s">
        <v>65</v>
      </c>
      <c r="E34" s="25">
        <v>125000</v>
      </c>
      <c r="F34" s="27" t="s">
        <v>74</v>
      </c>
      <c r="G34" s="27" t="s">
        <v>44</v>
      </c>
      <c r="H34" s="25">
        <v>4</v>
      </c>
      <c r="I34" s="25">
        <v>6800</v>
      </c>
      <c r="J34" s="25">
        <v>1</v>
      </c>
      <c r="K34" s="25">
        <v>5</v>
      </c>
      <c r="L34" s="25">
        <v>5</v>
      </c>
      <c r="M34" s="26" t="str">
        <f t="shared" si="0"/>
        <v>37-45</v>
      </c>
      <c r="N34" s="26" t="str">
        <f t="shared" si="1"/>
        <v>High</v>
      </c>
    </row>
    <row r="35" spans="1:14" ht="17" x14ac:dyDescent="0.2">
      <c r="A35" s="19">
        <v>32</v>
      </c>
      <c r="B35" s="19">
        <v>35</v>
      </c>
      <c r="C35" s="21" t="s">
        <v>62</v>
      </c>
      <c r="D35" s="3" t="s">
        <v>65</v>
      </c>
      <c r="E35" s="19">
        <v>84000</v>
      </c>
      <c r="F35" s="3" t="s">
        <v>74</v>
      </c>
      <c r="G35" s="3" t="s">
        <v>72</v>
      </c>
      <c r="H35" s="19">
        <v>4</v>
      </c>
      <c r="I35" s="19">
        <v>5900</v>
      </c>
      <c r="J35" s="19">
        <v>2</v>
      </c>
      <c r="K35" s="19">
        <v>4</v>
      </c>
      <c r="L35" s="19">
        <v>4</v>
      </c>
      <c r="M35" s="21" t="str">
        <f t="shared" si="0"/>
        <v>31-36</v>
      </c>
      <c r="N35" s="21" t="str">
        <f t="shared" si="1"/>
        <v>Middle</v>
      </c>
    </row>
    <row r="36" spans="1:14" ht="17" x14ac:dyDescent="0.2">
      <c r="A36" s="25">
        <v>33</v>
      </c>
      <c r="B36" s="25">
        <v>22</v>
      </c>
      <c r="C36" s="26" t="s">
        <v>22</v>
      </c>
      <c r="D36" s="27" t="s">
        <v>42</v>
      </c>
      <c r="E36" s="25">
        <v>68000</v>
      </c>
      <c r="F36" s="27" t="s">
        <v>71</v>
      </c>
      <c r="G36" s="27" t="s">
        <v>72</v>
      </c>
      <c r="H36" s="25">
        <v>4</v>
      </c>
      <c r="I36" s="25">
        <v>4500</v>
      </c>
      <c r="J36" s="25">
        <v>4</v>
      </c>
      <c r="K36" s="25">
        <v>4</v>
      </c>
      <c r="L36" s="25">
        <v>5</v>
      </c>
      <c r="M36" s="26" t="str">
        <f t="shared" si="0"/>
        <v>18-24</v>
      </c>
      <c r="N36" s="26" t="str">
        <f t="shared" si="1"/>
        <v>Middle</v>
      </c>
    </row>
    <row r="37" spans="1:14" ht="17" x14ac:dyDescent="0.2">
      <c r="A37" s="19">
        <v>34</v>
      </c>
      <c r="B37" s="19">
        <v>29</v>
      </c>
      <c r="C37" s="21" t="s">
        <v>62</v>
      </c>
      <c r="D37" s="3" t="s">
        <v>67</v>
      </c>
      <c r="E37" s="19">
        <v>80000</v>
      </c>
      <c r="F37" s="3" t="s">
        <v>43</v>
      </c>
      <c r="G37" s="3" t="s">
        <v>72</v>
      </c>
      <c r="H37" s="19">
        <v>4</v>
      </c>
      <c r="I37" s="19">
        <v>5800</v>
      </c>
      <c r="J37" s="19">
        <v>4</v>
      </c>
      <c r="K37" s="19">
        <v>4</v>
      </c>
      <c r="L37" s="19">
        <v>5</v>
      </c>
      <c r="M37" s="21" t="str">
        <f t="shared" si="0"/>
        <v>25-30</v>
      </c>
      <c r="N37" s="21" t="str">
        <f t="shared" si="1"/>
        <v>Middle</v>
      </c>
    </row>
    <row r="38" spans="1:14" ht="17" x14ac:dyDescent="0.2">
      <c r="A38" s="25">
        <v>35</v>
      </c>
      <c r="B38" s="25">
        <v>18</v>
      </c>
      <c r="C38" s="26" t="s">
        <v>22</v>
      </c>
      <c r="D38" s="27" t="s">
        <v>67</v>
      </c>
      <c r="E38" s="25">
        <v>72000</v>
      </c>
      <c r="F38" s="27" t="s">
        <v>73</v>
      </c>
      <c r="G38" s="27" t="s">
        <v>72</v>
      </c>
      <c r="H38" s="25">
        <v>4</v>
      </c>
      <c r="I38" s="25">
        <v>6300</v>
      </c>
      <c r="J38" s="25">
        <v>5</v>
      </c>
      <c r="K38" s="25">
        <v>4</v>
      </c>
      <c r="L38" s="25">
        <v>5</v>
      </c>
      <c r="M38" s="26" t="str">
        <f t="shared" si="0"/>
        <v>18-24</v>
      </c>
      <c r="N38" s="26" t="str">
        <f t="shared" si="1"/>
        <v>Middle</v>
      </c>
    </row>
    <row r="39" spans="1:14" ht="17" x14ac:dyDescent="0.2">
      <c r="A39" s="19">
        <v>36</v>
      </c>
      <c r="B39" s="19">
        <v>21</v>
      </c>
      <c r="C39" s="21" t="s">
        <v>22</v>
      </c>
      <c r="D39" s="3" t="s">
        <v>42</v>
      </c>
      <c r="E39" s="19">
        <v>69000</v>
      </c>
      <c r="F39" s="3" t="s">
        <v>76</v>
      </c>
      <c r="G39" s="3" t="s">
        <v>72</v>
      </c>
      <c r="H39" s="19">
        <v>3</v>
      </c>
      <c r="I39" s="19">
        <v>5400</v>
      </c>
      <c r="J39" s="19">
        <v>3</v>
      </c>
      <c r="K39" s="19">
        <v>3</v>
      </c>
      <c r="L39" s="19">
        <v>4</v>
      </c>
      <c r="M39" s="21" t="str">
        <f t="shared" si="0"/>
        <v>18-24</v>
      </c>
      <c r="N39" s="21" t="str">
        <f t="shared" si="1"/>
        <v>Middle</v>
      </c>
    </row>
    <row r="40" spans="1:14" ht="17" x14ac:dyDescent="0.2">
      <c r="A40" s="25">
        <v>37</v>
      </c>
      <c r="B40" s="25">
        <v>39</v>
      </c>
      <c r="C40" s="26" t="s">
        <v>22</v>
      </c>
      <c r="D40" s="27" t="s">
        <v>66</v>
      </c>
      <c r="E40" s="25">
        <v>90000</v>
      </c>
      <c r="F40" s="27" t="s">
        <v>43</v>
      </c>
      <c r="G40" s="27" t="s">
        <v>44</v>
      </c>
      <c r="H40" s="25">
        <v>5</v>
      </c>
      <c r="I40" s="25">
        <v>7500</v>
      </c>
      <c r="J40" s="25">
        <v>3</v>
      </c>
      <c r="K40" s="25">
        <v>4</v>
      </c>
      <c r="L40" s="25">
        <v>5</v>
      </c>
      <c r="M40" s="26" t="str">
        <f t="shared" si="0"/>
        <v>37-45</v>
      </c>
      <c r="N40" s="26" t="str">
        <f t="shared" si="1"/>
        <v>High</v>
      </c>
    </row>
    <row r="41" spans="1:14" ht="17" x14ac:dyDescent="0.2">
      <c r="A41" s="19">
        <v>38</v>
      </c>
      <c r="B41" s="19">
        <v>21</v>
      </c>
      <c r="C41" s="21" t="s">
        <v>62</v>
      </c>
      <c r="D41" s="3" t="s">
        <v>66</v>
      </c>
      <c r="E41" s="19">
        <v>75000</v>
      </c>
      <c r="F41" s="3" t="s">
        <v>43</v>
      </c>
      <c r="G41" s="3" t="s">
        <v>44</v>
      </c>
      <c r="H41" s="19">
        <v>5</v>
      </c>
      <c r="I41" s="19">
        <v>6600</v>
      </c>
      <c r="J41" s="19">
        <v>5</v>
      </c>
      <c r="K41" s="19">
        <v>3</v>
      </c>
      <c r="L41" s="19">
        <v>5</v>
      </c>
      <c r="M41" s="21" t="str">
        <f t="shared" si="0"/>
        <v>18-24</v>
      </c>
      <c r="N41" s="21" t="str">
        <f t="shared" si="1"/>
        <v>Middle</v>
      </c>
    </row>
    <row r="42" spans="1:14" ht="17" x14ac:dyDescent="0.2">
      <c r="A42" s="25">
        <v>39</v>
      </c>
      <c r="B42" s="25">
        <v>34</v>
      </c>
      <c r="C42" s="26" t="s">
        <v>22</v>
      </c>
      <c r="D42" s="27" t="s">
        <v>67</v>
      </c>
      <c r="E42" s="25">
        <v>81000</v>
      </c>
      <c r="F42" s="27" t="s">
        <v>71</v>
      </c>
      <c r="G42" s="27" t="s">
        <v>72</v>
      </c>
      <c r="H42" s="25">
        <v>2</v>
      </c>
      <c r="I42" s="25">
        <v>4900</v>
      </c>
      <c r="J42" s="25">
        <v>2</v>
      </c>
      <c r="K42" s="25">
        <v>2</v>
      </c>
      <c r="L42" s="25">
        <v>3</v>
      </c>
      <c r="M42" s="26" t="str">
        <f t="shared" si="0"/>
        <v>31-36</v>
      </c>
      <c r="N42" s="26" t="str">
        <f t="shared" si="1"/>
        <v>Middle</v>
      </c>
    </row>
    <row r="43" spans="1:14" ht="17" x14ac:dyDescent="0.2">
      <c r="A43" s="19">
        <v>40</v>
      </c>
      <c r="B43" s="19">
        <v>20</v>
      </c>
      <c r="C43" s="21" t="s">
        <v>63</v>
      </c>
      <c r="D43" s="3" t="s">
        <v>67</v>
      </c>
      <c r="E43" s="19">
        <v>70000</v>
      </c>
      <c r="F43" s="3" t="s">
        <v>43</v>
      </c>
      <c r="G43" s="3" t="s">
        <v>72</v>
      </c>
      <c r="H43" s="19">
        <v>5</v>
      </c>
      <c r="I43" s="19">
        <v>5300</v>
      </c>
      <c r="J43" s="19">
        <v>4</v>
      </c>
      <c r="K43" s="19">
        <v>3</v>
      </c>
      <c r="L43" s="19">
        <v>4</v>
      </c>
      <c r="M43" s="21" t="str">
        <f t="shared" si="0"/>
        <v>18-24</v>
      </c>
      <c r="N43" s="21" t="str">
        <f t="shared" si="1"/>
        <v>Middle</v>
      </c>
    </row>
    <row r="44" spans="1:14" ht="17" x14ac:dyDescent="0.2">
      <c r="A44" s="25">
        <v>41</v>
      </c>
      <c r="B44" s="25">
        <v>40</v>
      </c>
      <c r="C44" s="26" t="s">
        <v>22</v>
      </c>
      <c r="D44" s="27" t="s">
        <v>42</v>
      </c>
      <c r="E44" s="25">
        <v>102000</v>
      </c>
      <c r="F44" s="27" t="s">
        <v>76</v>
      </c>
      <c r="G44" s="27" t="s">
        <v>72</v>
      </c>
      <c r="H44" s="25">
        <v>4</v>
      </c>
      <c r="I44" s="25">
        <v>6600</v>
      </c>
      <c r="J44" s="25">
        <v>2</v>
      </c>
      <c r="K44" s="25">
        <v>4</v>
      </c>
      <c r="L44" s="25">
        <v>4</v>
      </c>
      <c r="M44" s="26" t="str">
        <f t="shared" si="0"/>
        <v>37-45</v>
      </c>
      <c r="N44" s="26" t="str">
        <f t="shared" si="1"/>
        <v>High</v>
      </c>
    </row>
    <row r="45" spans="1:14" ht="17" x14ac:dyDescent="0.2">
      <c r="A45" s="19">
        <v>42</v>
      </c>
      <c r="B45" s="19">
        <v>44</v>
      </c>
      <c r="C45" s="21" t="s">
        <v>22</v>
      </c>
      <c r="D45" s="3" t="s">
        <v>66</v>
      </c>
      <c r="E45" s="19">
        <v>111000</v>
      </c>
      <c r="F45" s="3" t="s">
        <v>43</v>
      </c>
      <c r="G45" s="3" t="s">
        <v>72</v>
      </c>
      <c r="H45" s="19">
        <v>3</v>
      </c>
      <c r="I45" s="19">
        <v>8000</v>
      </c>
      <c r="J45" s="19">
        <v>2</v>
      </c>
      <c r="K45" s="19">
        <v>4</v>
      </c>
      <c r="L45" s="19">
        <v>5</v>
      </c>
      <c r="M45" s="21" t="str">
        <f t="shared" si="0"/>
        <v>37-45</v>
      </c>
      <c r="N45" s="21" t="str">
        <f t="shared" si="1"/>
        <v>High</v>
      </c>
    </row>
    <row r="46" spans="1:14" ht="17" x14ac:dyDescent="0.2">
      <c r="A46" s="25">
        <v>43</v>
      </c>
      <c r="B46" s="25">
        <v>43</v>
      </c>
      <c r="C46" s="26" t="s">
        <v>62</v>
      </c>
      <c r="D46" s="27" t="s">
        <v>64</v>
      </c>
      <c r="E46" s="25">
        <v>98000</v>
      </c>
      <c r="F46" s="27" t="s">
        <v>74</v>
      </c>
      <c r="G46" s="27" t="s">
        <v>72</v>
      </c>
      <c r="H46" s="25">
        <v>3</v>
      </c>
      <c r="I46" s="25">
        <v>5100</v>
      </c>
      <c r="J46" s="25">
        <v>2</v>
      </c>
      <c r="K46" s="25">
        <v>4</v>
      </c>
      <c r="L46" s="25">
        <v>5</v>
      </c>
      <c r="M46" s="26" t="str">
        <f t="shared" si="0"/>
        <v>37-45</v>
      </c>
      <c r="N46" s="26" t="str">
        <f t="shared" si="1"/>
        <v>High</v>
      </c>
    </row>
    <row r="47" spans="1:14" ht="17" x14ac:dyDescent="0.2">
      <c r="A47" s="19">
        <v>44</v>
      </c>
      <c r="B47" s="19">
        <v>25</v>
      </c>
      <c r="C47" s="21" t="s">
        <v>62</v>
      </c>
      <c r="D47" s="3" t="s">
        <v>42</v>
      </c>
      <c r="E47" s="19">
        <v>63000</v>
      </c>
      <c r="F47" s="3" t="s">
        <v>76</v>
      </c>
      <c r="G47" s="3" t="s">
        <v>44</v>
      </c>
      <c r="H47" s="19">
        <v>5</v>
      </c>
      <c r="I47" s="19">
        <v>4600</v>
      </c>
      <c r="J47" s="19">
        <v>3</v>
      </c>
      <c r="K47" s="19">
        <v>4</v>
      </c>
      <c r="L47" s="19">
        <v>5</v>
      </c>
      <c r="M47" s="21" t="str">
        <f t="shared" si="0"/>
        <v>25-30</v>
      </c>
      <c r="N47" s="21" t="str">
        <f t="shared" si="1"/>
        <v>Middle</v>
      </c>
    </row>
    <row r="48" spans="1:14" ht="17" x14ac:dyDescent="0.2">
      <c r="A48" s="25">
        <v>45</v>
      </c>
      <c r="B48" s="25">
        <v>30</v>
      </c>
      <c r="C48" s="26" t="s">
        <v>22</v>
      </c>
      <c r="D48" s="27" t="s">
        <v>66</v>
      </c>
      <c r="E48" s="25">
        <v>93000</v>
      </c>
      <c r="F48" s="27" t="s">
        <v>71</v>
      </c>
      <c r="G48" s="27" t="s">
        <v>72</v>
      </c>
      <c r="H48" s="25">
        <v>5</v>
      </c>
      <c r="I48" s="25">
        <v>6700</v>
      </c>
      <c r="J48" s="25">
        <v>3</v>
      </c>
      <c r="K48" s="25">
        <v>4</v>
      </c>
      <c r="L48" s="25">
        <v>4</v>
      </c>
      <c r="M48" s="26" t="str">
        <f t="shared" si="0"/>
        <v>25-30</v>
      </c>
      <c r="N48" s="26" t="str">
        <f t="shared" si="1"/>
        <v>High</v>
      </c>
    </row>
    <row r="49" spans="1:14" ht="17" x14ac:dyDescent="0.2">
      <c r="A49" s="19">
        <v>46</v>
      </c>
      <c r="B49" s="19">
        <v>43</v>
      </c>
      <c r="C49" s="21" t="s">
        <v>63</v>
      </c>
      <c r="D49" s="3" t="s">
        <v>65</v>
      </c>
      <c r="E49" s="19">
        <v>96000</v>
      </c>
      <c r="F49" s="3" t="s">
        <v>76</v>
      </c>
      <c r="G49" s="3" t="s">
        <v>72</v>
      </c>
      <c r="H49" s="19">
        <v>3</v>
      </c>
      <c r="I49" s="19">
        <v>5900</v>
      </c>
      <c r="J49" s="19">
        <v>2</v>
      </c>
      <c r="K49" s="19">
        <v>3</v>
      </c>
      <c r="L49" s="19">
        <v>5</v>
      </c>
      <c r="M49" s="21" t="str">
        <f t="shared" si="0"/>
        <v>37-45</v>
      </c>
      <c r="N49" s="21" t="str">
        <f t="shared" si="1"/>
        <v>High</v>
      </c>
    </row>
    <row r="50" spans="1:14" ht="17" x14ac:dyDescent="0.2">
      <c r="A50" s="25">
        <v>47</v>
      </c>
      <c r="B50" s="25">
        <v>32</v>
      </c>
      <c r="C50" s="26" t="s">
        <v>62</v>
      </c>
      <c r="D50" s="27" t="s">
        <v>64</v>
      </c>
      <c r="E50" s="25">
        <v>89000</v>
      </c>
      <c r="F50" s="27" t="s">
        <v>76</v>
      </c>
      <c r="G50" s="27" t="s">
        <v>72</v>
      </c>
      <c r="H50" s="25">
        <v>4</v>
      </c>
      <c r="I50" s="25">
        <v>6500</v>
      </c>
      <c r="J50" s="25">
        <v>3</v>
      </c>
      <c r="K50" s="25">
        <v>3</v>
      </c>
      <c r="L50" s="25">
        <v>4</v>
      </c>
      <c r="M50" s="26" t="str">
        <f t="shared" si="0"/>
        <v>31-36</v>
      </c>
      <c r="N50" s="26" t="str">
        <f t="shared" si="1"/>
        <v>Middle</v>
      </c>
    </row>
    <row r="51" spans="1:14" ht="17" x14ac:dyDescent="0.2">
      <c r="A51" s="19">
        <v>48</v>
      </c>
      <c r="B51" s="19">
        <v>42</v>
      </c>
      <c r="C51" s="21" t="s">
        <v>22</v>
      </c>
      <c r="D51" s="3" t="s">
        <v>65</v>
      </c>
      <c r="E51" s="19">
        <v>118000</v>
      </c>
      <c r="F51" s="3" t="s">
        <v>43</v>
      </c>
      <c r="G51" s="3" t="s">
        <v>72</v>
      </c>
      <c r="H51" s="19">
        <v>4</v>
      </c>
      <c r="I51" s="19">
        <v>8400</v>
      </c>
      <c r="J51" s="19">
        <v>2</v>
      </c>
      <c r="K51" s="19">
        <v>4</v>
      </c>
      <c r="L51" s="19">
        <v>4</v>
      </c>
      <c r="M51" s="21" t="str">
        <f t="shared" si="0"/>
        <v>37-45</v>
      </c>
      <c r="N51" s="21" t="str">
        <f t="shared" si="1"/>
        <v>High</v>
      </c>
    </row>
    <row r="52" spans="1:14" ht="17" x14ac:dyDescent="0.2">
      <c r="A52" s="25">
        <v>49</v>
      </c>
      <c r="B52" s="25">
        <v>28</v>
      </c>
      <c r="C52" s="26" t="s">
        <v>22</v>
      </c>
      <c r="D52" s="27" t="s">
        <v>65</v>
      </c>
      <c r="E52" s="25">
        <v>72000</v>
      </c>
      <c r="F52" s="27" t="s">
        <v>76</v>
      </c>
      <c r="G52" s="27" t="s">
        <v>44</v>
      </c>
      <c r="H52" s="25">
        <v>6</v>
      </c>
      <c r="I52" s="25">
        <v>4700</v>
      </c>
      <c r="J52" s="25">
        <v>3</v>
      </c>
      <c r="K52" s="25">
        <v>3</v>
      </c>
      <c r="L52" s="25">
        <v>4</v>
      </c>
      <c r="M52" s="26" t="str">
        <f t="shared" si="0"/>
        <v>25-30</v>
      </c>
      <c r="N52" s="26" t="str">
        <f t="shared" si="1"/>
        <v>Middle</v>
      </c>
    </row>
    <row r="53" spans="1:14" ht="17" x14ac:dyDescent="0.2">
      <c r="A53" s="19">
        <v>50</v>
      </c>
      <c r="B53" s="19">
        <v>32</v>
      </c>
      <c r="C53" s="21" t="s">
        <v>22</v>
      </c>
      <c r="D53" s="3" t="s">
        <v>42</v>
      </c>
      <c r="E53" s="19">
        <v>87000</v>
      </c>
      <c r="F53" s="3" t="s">
        <v>76</v>
      </c>
      <c r="G53" s="3" t="s">
        <v>72</v>
      </c>
      <c r="H53" s="19">
        <v>5</v>
      </c>
      <c r="I53" s="19">
        <v>6500</v>
      </c>
      <c r="J53" s="19">
        <v>3</v>
      </c>
      <c r="K53" s="19">
        <v>4</v>
      </c>
      <c r="L53" s="19">
        <v>5</v>
      </c>
      <c r="M53" s="21" t="str">
        <f t="shared" si="0"/>
        <v>31-36</v>
      </c>
      <c r="N53" s="21" t="str">
        <f t="shared" si="1"/>
        <v>Middle</v>
      </c>
    </row>
    <row r="54" spans="1:14" ht="17" x14ac:dyDescent="0.2">
      <c r="A54" s="25">
        <v>51</v>
      </c>
      <c r="B54" s="25">
        <v>29</v>
      </c>
      <c r="C54" s="26" t="s">
        <v>22</v>
      </c>
      <c r="D54" s="27" t="s">
        <v>66</v>
      </c>
      <c r="E54" s="25">
        <v>98000</v>
      </c>
      <c r="F54" s="27" t="s">
        <v>74</v>
      </c>
      <c r="G54" s="27" t="s">
        <v>72</v>
      </c>
      <c r="H54" s="25">
        <v>6</v>
      </c>
      <c r="I54" s="25">
        <v>5500</v>
      </c>
      <c r="J54" s="25">
        <v>3</v>
      </c>
      <c r="K54" s="25">
        <v>4</v>
      </c>
      <c r="L54" s="25">
        <v>4</v>
      </c>
      <c r="M54" s="26" t="str">
        <f t="shared" si="0"/>
        <v>25-30</v>
      </c>
      <c r="N54" s="26" t="str">
        <f t="shared" si="1"/>
        <v>High</v>
      </c>
    </row>
    <row r="55" spans="1:14" ht="17" x14ac:dyDescent="0.2">
      <c r="A55" s="19">
        <v>52</v>
      </c>
      <c r="B55" s="19">
        <v>31</v>
      </c>
      <c r="C55" s="21" t="s">
        <v>22</v>
      </c>
      <c r="D55" s="3" t="s">
        <v>66</v>
      </c>
      <c r="E55" s="19">
        <v>96000</v>
      </c>
      <c r="F55" s="3" t="s">
        <v>43</v>
      </c>
      <c r="G55" s="3" t="s">
        <v>44</v>
      </c>
      <c r="H55" s="19">
        <v>3</v>
      </c>
      <c r="I55" s="19">
        <v>6300</v>
      </c>
      <c r="J55" s="19">
        <v>3</v>
      </c>
      <c r="K55" s="19">
        <v>4</v>
      </c>
      <c r="L55" s="19">
        <v>5</v>
      </c>
      <c r="M55" s="21" t="str">
        <f t="shared" si="0"/>
        <v>31-36</v>
      </c>
      <c r="N55" s="21" t="str">
        <f t="shared" si="1"/>
        <v>High</v>
      </c>
    </row>
    <row r="56" spans="1:14" ht="17" x14ac:dyDescent="0.2">
      <c r="A56" s="25">
        <v>53</v>
      </c>
      <c r="B56" s="25">
        <v>36</v>
      </c>
      <c r="C56" s="26" t="s">
        <v>62</v>
      </c>
      <c r="D56" s="27" t="s">
        <v>42</v>
      </c>
      <c r="E56" s="25">
        <v>102000</v>
      </c>
      <c r="F56" s="27" t="s">
        <v>43</v>
      </c>
      <c r="G56" s="27" t="s">
        <v>72</v>
      </c>
      <c r="H56" s="25">
        <v>2</v>
      </c>
      <c r="I56" s="25">
        <v>6600</v>
      </c>
      <c r="J56" s="25">
        <v>2</v>
      </c>
      <c r="K56" s="25">
        <v>3</v>
      </c>
      <c r="L56" s="25">
        <v>4</v>
      </c>
      <c r="M56" s="26" t="str">
        <f t="shared" si="0"/>
        <v>31-36</v>
      </c>
      <c r="N56" s="26" t="str">
        <f t="shared" si="1"/>
        <v>High</v>
      </c>
    </row>
    <row r="57" spans="1:14" ht="17" x14ac:dyDescent="0.2">
      <c r="A57" s="19">
        <v>54</v>
      </c>
      <c r="B57" s="19">
        <v>28</v>
      </c>
      <c r="C57" s="21" t="s">
        <v>62</v>
      </c>
      <c r="D57" s="3" t="s">
        <v>66</v>
      </c>
      <c r="E57" s="19">
        <v>93000</v>
      </c>
      <c r="F57" s="3" t="s">
        <v>43</v>
      </c>
      <c r="G57" s="3" t="s">
        <v>44</v>
      </c>
      <c r="H57" s="19">
        <v>4</v>
      </c>
      <c r="I57" s="19">
        <v>7900</v>
      </c>
      <c r="J57" s="19">
        <v>4</v>
      </c>
      <c r="K57" s="19">
        <v>5</v>
      </c>
      <c r="L57" s="19">
        <v>5</v>
      </c>
      <c r="M57" s="21" t="str">
        <f t="shared" si="0"/>
        <v>25-30</v>
      </c>
      <c r="N57" s="21" t="str">
        <f t="shared" si="1"/>
        <v>High</v>
      </c>
    </row>
    <row r="58" spans="1:14" ht="17" x14ac:dyDescent="0.2">
      <c r="A58" s="25">
        <v>55</v>
      </c>
      <c r="B58" s="25">
        <v>29</v>
      </c>
      <c r="C58" s="26" t="s">
        <v>22</v>
      </c>
      <c r="D58" s="27" t="s">
        <v>42</v>
      </c>
      <c r="E58" s="25">
        <v>90000</v>
      </c>
      <c r="F58" s="27" t="s">
        <v>71</v>
      </c>
      <c r="G58" s="27" t="s">
        <v>44</v>
      </c>
      <c r="H58" s="25">
        <v>5</v>
      </c>
      <c r="I58" s="25">
        <v>6100</v>
      </c>
      <c r="J58" s="25">
        <v>2</v>
      </c>
      <c r="K58" s="25">
        <v>4</v>
      </c>
      <c r="L58" s="25">
        <v>4</v>
      </c>
      <c r="M58" s="26" t="str">
        <f t="shared" si="0"/>
        <v>25-30</v>
      </c>
      <c r="N58" s="26" t="str">
        <f t="shared" si="1"/>
        <v>High</v>
      </c>
    </row>
    <row r="59" spans="1:14" ht="17" x14ac:dyDescent="0.2">
      <c r="A59" s="19">
        <v>56</v>
      </c>
      <c r="B59" s="19">
        <v>33</v>
      </c>
      <c r="C59" s="21" t="s">
        <v>62</v>
      </c>
      <c r="D59" s="3" t="s">
        <v>65</v>
      </c>
      <c r="E59" s="19">
        <v>84000</v>
      </c>
      <c r="F59" s="3" t="s">
        <v>74</v>
      </c>
      <c r="G59" s="3" t="s">
        <v>44</v>
      </c>
      <c r="H59" s="19">
        <v>3</v>
      </c>
      <c r="I59" s="19">
        <v>5900</v>
      </c>
      <c r="J59" s="19">
        <v>3</v>
      </c>
      <c r="K59" s="19">
        <v>4</v>
      </c>
      <c r="L59" s="19">
        <v>5</v>
      </c>
      <c r="M59" s="21" t="str">
        <f t="shared" si="0"/>
        <v>31-36</v>
      </c>
      <c r="N59" s="21" t="str">
        <f t="shared" si="1"/>
        <v>Middle</v>
      </c>
    </row>
    <row r="60" spans="1:14" ht="17" x14ac:dyDescent="0.2">
      <c r="A60" s="25">
        <v>57</v>
      </c>
      <c r="B60" s="25">
        <v>23</v>
      </c>
      <c r="C60" s="26" t="s">
        <v>63</v>
      </c>
      <c r="D60" s="27" t="s">
        <v>42</v>
      </c>
      <c r="E60" s="25">
        <v>58000</v>
      </c>
      <c r="F60" s="27" t="s">
        <v>43</v>
      </c>
      <c r="G60" s="27" t="s">
        <v>44</v>
      </c>
      <c r="H60" s="25">
        <v>5</v>
      </c>
      <c r="I60" s="25">
        <v>5800</v>
      </c>
      <c r="J60" s="25">
        <v>4</v>
      </c>
      <c r="K60" s="25">
        <v>4</v>
      </c>
      <c r="L60" s="25">
        <v>4</v>
      </c>
      <c r="M60" s="26" t="str">
        <f t="shared" si="0"/>
        <v>18-24</v>
      </c>
      <c r="N60" s="26" t="str">
        <f t="shared" si="1"/>
        <v>Middle</v>
      </c>
    </row>
    <row r="61" spans="1:14" ht="17" x14ac:dyDescent="0.2">
      <c r="A61" s="19">
        <v>58</v>
      </c>
      <c r="B61" s="19">
        <v>40</v>
      </c>
      <c r="C61" s="21" t="s">
        <v>62</v>
      </c>
      <c r="D61" s="3" t="s">
        <v>66</v>
      </c>
      <c r="E61" s="19">
        <v>113000</v>
      </c>
      <c r="F61" s="3" t="s">
        <v>76</v>
      </c>
      <c r="G61" s="3" t="s">
        <v>72</v>
      </c>
      <c r="H61" s="19">
        <v>2</v>
      </c>
      <c r="I61" s="19">
        <v>7200</v>
      </c>
      <c r="J61" s="19">
        <v>2</v>
      </c>
      <c r="K61" s="19">
        <v>4</v>
      </c>
      <c r="L61" s="19">
        <v>4</v>
      </c>
      <c r="M61" s="21" t="str">
        <f t="shared" si="0"/>
        <v>37-45</v>
      </c>
      <c r="N61" s="21" t="str">
        <f t="shared" si="1"/>
        <v>High</v>
      </c>
    </row>
    <row r="62" spans="1:14" ht="17" x14ac:dyDescent="0.2">
      <c r="A62" s="25">
        <v>59</v>
      </c>
      <c r="B62" s="25">
        <v>31</v>
      </c>
      <c r="C62" s="26" t="s">
        <v>62</v>
      </c>
      <c r="D62" s="27" t="s">
        <v>42</v>
      </c>
      <c r="E62" s="25">
        <v>93000</v>
      </c>
      <c r="F62" s="27" t="s">
        <v>76</v>
      </c>
      <c r="G62" s="27" t="s">
        <v>72</v>
      </c>
      <c r="H62" s="25">
        <v>5</v>
      </c>
      <c r="I62" s="25">
        <v>6000</v>
      </c>
      <c r="J62" s="25">
        <v>3</v>
      </c>
      <c r="K62" s="25">
        <v>4</v>
      </c>
      <c r="L62" s="25">
        <v>5</v>
      </c>
      <c r="M62" s="26" t="str">
        <f t="shared" si="0"/>
        <v>31-36</v>
      </c>
      <c r="N62" s="26" t="str">
        <f t="shared" si="1"/>
        <v>High</v>
      </c>
    </row>
    <row r="63" spans="1:14" ht="17" x14ac:dyDescent="0.2">
      <c r="A63" s="19">
        <v>60</v>
      </c>
      <c r="B63" s="19">
        <v>31</v>
      </c>
      <c r="C63" s="21" t="s">
        <v>22</v>
      </c>
      <c r="D63" s="3" t="s">
        <v>65</v>
      </c>
      <c r="E63" s="19">
        <v>94000</v>
      </c>
      <c r="F63" s="3" t="s">
        <v>43</v>
      </c>
      <c r="G63" s="3" t="s">
        <v>72</v>
      </c>
      <c r="H63" s="19">
        <v>4</v>
      </c>
      <c r="I63" s="19">
        <v>6900</v>
      </c>
      <c r="J63" s="19">
        <v>3</v>
      </c>
      <c r="K63" s="19">
        <v>4</v>
      </c>
      <c r="L63" s="19">
        <v>5</v>
      </c>
      <c r="M63" s="21" t="str">
        <f t="shared" si="0"/>
        <v>31-36</v>
      </c>
      <c r="N63" s="21" t="str">
        <f t="shared" si="1"/>
        <v>High</v>
      </c>
    </row>
    <row r="64" spans="1:14" ht="17" x14ac:dyDescent="0.2">
      <c r="A64" s="25">
        <v>61</v>
      </c>
      <c r="B64" s="25">
        <v>25</v>
      </c>
      <c r="C64" s="26" t="s">
        <v>62</v>
      </c>
      <c r="D64" s="27" t="s">
        <v>42</v>
      </c>
      <c r="E64" s="25">
        <v>76000</v>
      </c>
      <c r="F64" s="27" t="s">
        <v>43</v>
      </c>
      <c r="G64" s="27" t="s">
        <v>44</v>
      </c>
      <c r="H64" s="25">
        <v>7</v>
      </c>
      <c r="I64" s="25">
        <v>5100</v>
      </c>
      <c r="J64" s="25">
        <v>3</v>
      </c>
      <c r="K64" s="25">
        <v>4</v>
      </c>
      <c r="L64" s="25">
        <v>5</v>
      </c>
      <c r="M64" s="26" t="str">
        <f t="shared" si="0"/>
        <v>25-30</v>
      </c>
      <c r="N64" s="26" t="str">
        <f t="shared" si="1"/>
        <v>Middle</v>
      </c>
    </row>
    <row r="65" spans="1:14" ht="17" x14ac:dyDescent="0.2">
      <c r="A65" s="19">
        <v>62</v>
      </c>
      <c r="B65" s="19">
        <v>23</v>
      </c>
      <c r="C65" s="21" t="s">
        <v>22</v>
      </c>
      <c r="D65" s="3" t="s">
        <v>66</v>
      </c>
      <c r="E65" s="19">
        <v>68000</v>
      </c>
      <c r="F65" s="3" t="s">
        <v>76</v>
      </c>
      <c r="G65" s="3" t="s">
        <v>72</v>
      </c>
      <c r="H65" s="19">
        <v>3</v>
      </c>
      <c r="I65" s="19">
        <v>3700</v>
      </c>
      <c r="J65" s="19">
        <v>3</v>
      </c>
      <c r="K65" s="19">
        <v>3</v>
      </c>
      <c r="L65" s="19">
        <v>3</v>
      </c>
      <c r="M65" s="21" t="str">
        <f t="shared" si="0"/>
        <v>18-24</v>
      </c>
      <c r="N65" s="21" t="str">
        <f t="shared" si="1"/>
        <v>Middle</v>
      </c>
    </row>
    <row r="66" spans="1:14" ht="17" x14ac:dyDescent="0.2">
      <c r="A66" s="25">
        <v>63</v>
      </c>
      <c r="B66" s="25">
        <v>41</v>
      </c>
      <c r="C66" s="26" t="s">
        <v>22</v>
      </c>
      <c r="D66" s="27" t="s">
        <v>65</v>
      </c>
      <c r="E66" s="25">
        <v>99000</v>
      </c>
      <c r="F66" s="27" t="s">
        <v>73</v>
      </c>
      <c r="G66" s="27" t="s">
        <v>72</v>
      </c>
      <c r="H66" s="25">
        <v>4</v>
      </c>
      <c r="I66" s="25">
        <v>6700</v>
      </c>
      <c r="J66" s="25">
        <v>2</v>
      </c>
      <c r="K66" s="25">
        <v>4</v>
      </c>
      <c r="L66" s="25">
        <v>4</v>
      </c>
      <c r="M66" s="26" t="str">
        <f t="shared" si="0"/>
        <v>37-45</v>
      </c>
      <c r="N66" s="26" t="str">
        <f t="shared" si="1"/>
        <v>High</v>
      </c>
    </row>
    <row r="67" spans="1:14" ht="17" x14ac:dyDescent="0.2">
      <c r="A67" s="19">
        <v>64</v>
      </c>
      <c r="B67" s="19">
        <v>40</v>
      </c>
      <c r="C67" s="21" t="s">
        <v>22</v>
      </c>
      <c r="D67" s="3" t="s">
        <v>65</v>
      </c>
      <c r="E67" s="19">
        <v>101000</v>
      </c>
      <c r="F67" s="3" t="s">
        <v>73</v>
      </c>
      <c r="G67" s="3" t="s">
        <v>72</v>
      </c>
      <c r="H67" s="19">
        <v>4</v>
      </c>
      <c r="I67" s="19">
        <v>7300</v>
      </c>
      <c r="J67" s="19">
        <v>2</v>
      </c>
      <c r="K67" s="19">
        <v>4</v>
      </c>
      <c r="L67" s="19">
        <v>5</v>
      </c>
      <c r="M67" s="21" t="str">
        <f t="shared" si="0"/>
        <v>37-45</v>
      </c>
      <c r="N67" s="21" t="str">
        <f t="shared" si="1"/>
        <v>High</v>
      </c>
    </row>
    <row r="68" spans="1:14" ht="17" x14ac:dyDescent="0.2">
      <c r="A68" s="25">
        <v>65</v>
      </c>
      <c r="B68" s="25">
        <v>26</v>
      </c>
      <c r="C68" s="26" t="s">
        <v>22</v>
      </c>
      <c r="D68" s="27" t="s">
        <v>42</v>
      </c>
      <c r="E68" s="25">
        <v>86000</v>
      </c>
      <c r="F68" s="27" t="s">
        <v>73</v>
      </c>
      <c r="G68" s="27" t="s">
        <v>44</v>
      </c>
      <c r="H68" s="25">
        <v>5</v>
      </c>
      <c r="I68" s="25">
        <v>6400</v>
      </c>
      <c r="J68" s="25">
        <v>3</v>
      </c>
      <c r="K68" s="25">
        <v>4</v>
      </c>
      <c r="L68" s="25">
        <v>5</v>
      </c>
      <c r="M68" s="26" t="str">
        <f t="shared" ref="M68:M103" si="2">IF(B68&lt;=24,"18-24",IF(B68&lt;=30,"25-30",IF(B68&lt;=36,"31-36","37-45")))</f>
        <v>25-30</v>
      </c>
      <c r="N68" s="26" t="str">
        <f t="shared" ref="N68:N103" si="3">IF(E68&lt;50000,"Low",IF(E68&lt;90000,"Middle","High"))</f>
        <v>Middle</v>
      </c>
    </row>
    <row r="69" spans="1:14" ht="17" x14ac:dyDescent="0.2">
      <c r="A69" s="19">
        <v>66</v>
      </c>
      <c r="B69" s="19">
        <v>33</v>
      </c>
      <c r="C69" s="21" t="s">
        <v>22</v>
      </c>
      <c r="D69" s="3" t="s">
        <v>65</v>
      </c>
      <c r="E69" s="19">
        <v>101000</v>
      </c>
      <c r="F69" s="3" t="s">
        <v>76</v>
      </c>
      <c r="G69" s="3" t="s">
        <v>44</v>
      </c>
      <c r="H69" s="19">
        <v>5</v>
      </c>
      <c r="I69" s="19">
        <v>6100</v>
      </c>
      <c r="J69" s="19">
        <v>3</v>
      </c>
      <c r="K69" s="19">
        <v>4</v>
      </c>
      <c r="L69" s="19">
        <v>5</v>
      </c>
      <c r="M69" s="21" t="str">
        <f t="shared" si="2"/>
        <v>31-36</v>
      </c>
      <c r="N69" s="21" t="str">
        <f t="shared" si="3"/>
        <v>High</v>
      </c>
    </row>
    <row r="70" spans="1:14" ht="17" x14ac:dyDescent="0.2">
      <c r="A70" s="25">
        <v>67</v>
      </c>
      <c r="B70" s="25">
        <v>18</v>
      </c>
      <c r="C70" s="26" t="s">
        <v>62</v>
      </c>
      <c r="D70" s="27" t="s">
        <v>42</v>
      </c>
      <c r="E70" s="25">
        <v>50000</v>
      </c>
      <c r="F70" s="27" t="s">
        <v>76</v>
      </c>
      <c r="G70" s="27" t="s">
        <v>44</v>
      </c>
      <c r="H70" s="25">
        <v>7</v>
      </c>
      <c r="I70" s="25">
        <v>5200</v>
      </c>
      <c r="J70" s="25">
        <v>5</v>
      </c>
      <c r="K70" s="25">
        <v>4</v>
      </c>
      <c r="L70" s="25">
        <v>5</v>
      </c>
      <c r="M70" s="26" t="str">
        <f t="shared" si="2"/>
        <v>18-24</v>
      </c>
      <c r="N70" s="26" t="str">
        <f t="shared" si="3"/>
        <v>Middle</v>
      </c>
    </row>
    <row r="71" spans="1:14" ht="17" x14ac:dyDescent="0.2">
      <c r="A71" s="19">
        <v>68</v>
      </c>
      <c r="B71" s="19">
        <v>18</v>
      </c>
      <c r="C71" s="21" t="s">
        <v>62</v>
      </c>
      <c r="D71" s="3" t="s">
        <v>65</v>
      </c>
      <c r="E71" s="19">
        <v>64000</v>
      </c>
      <c r="F71" s="3" t="s">
        <v>71</v>
      </c>
      <c r="G71" s="3" t="s">
        <v>72</v>
      </c>
      <c r="H71" s="19">
        <v>2</v>
      </c>
      <c r="I71" s="19">
        <v>3800</v>
      </c>
      <c r="J71" s="19">
        <v>4</v>
      </c>
      <c r="K71" s="19">
        <v>3</v>
      </c>
      <c r="L71" s="19">
        <v>4</v>
      </c>
      <c r="M71" s="21" t="str">
        <f t="shared" si="2"/>
        <v>18-24</v>
      </c>
      <c r="N71" s="21" t="str">
        <f t="shared" si="3"/>
        <v>Middle</v>
      </c>
    </row>
    <row r="72" spans="1:14" ht="17" x14ac:dyDescent="0.2">
      <c r="A72" s="25">
        <v>69</v>
      </c>
      <c r="B72" s="25">
        <v>20</v>
      </c>
      <c r="C72" s="26" t="s">
        <v>62</v>
      </c>
      <c r="D72" s="27" t="s">
        <v>64</v>
      </c>
      <c r="E72" s="25">
        <v>56000</v>
      </c>
      <c r="F72" s="27" t="s">
        <v>71</v>
      </c>
      <c r="G72" s="27" t="s">
        <v>44</v>
      </c>
      <c r="H72" s="25">
        <v>6</v>
      </c>
      <c r="I72" s="25">
        <v>3200</v>
      </c>
      <c r="J72" s="25">
        <v>3</v>
      </c>
      <c r="K72" s="25">
        <v>3</v>
      </c>
      <c r="L72" s="25">
        <v>4</v>
      </c>
      <c r="M72" s="26" t="str">
        <f t="shared" si="2"/>
        <v>18-24</v>
      </c>
      <c r="N72" s="26" t="str">
        <f t="shared" si="3"/>
        <v>Middle</v>
      </c>
    </row>
    <row r="73" spans="1:14" ht="17" x14ac:dyDescent="0.2">
      <c r="A73" s="19">
        <v>70</v>
      </c>
      <c r="B73" s="19">
        <v>43</v>
      </c>
      <c r="C73" s="21" t="s">
        <v>62</v>
      </c>
      <c r="D73" s="3" t="s">
        <v>64</v>
      </c>
      <c r="E73" s="19">
        <v>105000</v>
      </c>
      <c r="F73" s="3" t="s">
        <v>71</v>
      </c>
      <c r="G73" s="3" t="s">
        <v>72</v>
      </c>
      <c r="H73" s="19">
        <v>2</v>
      </c>
      <c r="I73" s="19">
        <v>6200</v>
      </c>
      <c r="J73" s="19">
        <v>2</v>
      </c>
      <c r="K73" s="19">
        <v>4</v>
      </c>
      <c r="L73" s="19">
        <v>5</v>
      </c>
      <c r="M73" s="21" t="str">
        <f t="shared" si="2"/>
        <v>37-45</v>
      </c>
      <c r="N73" s="21" t="str">
        <f t="shared" si="3"/>
        <v>High</v>
      </c>
    </row>
    <row r="74" spans="1:14" ht="17" x14ac:dyDescent="0.2">
      <c r="A74" s="25">
        <v>71</v>
      </c>
      <c r="B74" s="25">
        <v>41</v>
      </c>
      <c r="C74" s="26" t="s">
        <v>22</v>
      </c>
      <c r="D74" s="27" t="s">
        <v>64</v>
      </c>
      <c r="E74" s="25">
        <v>109000</v>
      </c>
      <c r="F74" s="27" t="s">
        <v>76</v>
      </c>
      <c r="G74" s="27" t="s">
        <v>72</v>
      </c>
      <c r="H74" s="25">
        <v>2</v>
      </c>
      <c r="I74" s="25">
        <v>5500</v>
      </c>
      <c r="J74" s="25">
        <v>1</v>
      </c>
      <c r="K74" s="25">
        <v>3</v>
      </c>
      <c r="L74" s="25">
        <v>3</v>
      </c>
      <c r="M74" s="26" t="str">
        <f t="shared" si="2"/>
        <v>37-45</v>
      </c>
      <c r="N74" s="26" t="str">
        <f t="shared" si="3"/>
        <v>High</v>
      </c>
    </row>
    <row r="75" spans="1:14" ht="17" x14ac:dyDescent="0.2">
      <c r="A75" s="19">
        <v>72</v>
      </c>
      <c r="B75" s="19">
        <v>32</v>
      </c>
      <c r="C75" s="21" t="s">
        <v>62</v>
      </c>
      <c r="D75" s="3" t="s">
        <v>65</v>
      </c>
      <c r="E75" s="19">
        <v>76000</v>
      </c>
      <c r="F75" s="3" t="s">
        <v>43</v>
      </c>
      <c r="G75" s="3" t="s">
        <v>72</v>
      </c>
      <c r="H75" s="19">
        <v>3</v>
      </c>
      <c r="I75" s="19">
        <v>6300</v>
      </c>
      <c r="J75" s="19">
        <v>2</v>
      </c>
      <c r="K75" s="19">
        <v>4</v>
      </c>
      <c r="L75" s="19">
        <v>5</v>
      </c>
      <c r="M75" s="21" t="str">
        <f t="shared" si="2"/>
        <v>31-36</v>
      </c>
      <c r="N75" s="21" t="str">
        <f t="shared" si="3"/>
        <v>Middle</v>
      </c>
    </row>
    <row r="76" spans="1:14" ht="17" x14ac:dyDescent="0.2">
      <c r="A76" s="25">
        <v>73</v>
      </c>
      <c r="B76" s="25">
        <v>43</v>
      </c>
      <c r="C76" s="26" t="s">
        <v>62</v>
      </c>
      <c r="D76" s="27" t="s">
        <v>65</v>
      </c>
      <c r="E76" s="25">
        <v>121000</v>
      </c>
      <c r="F76" s="27" t="s">
        <v>74</v>
      </c>
      <c r="G76" s="27" t="s">
        <v>72</v>
      </c>
      <c r="H76" s="25">
        <v>3</v>
      </c>
      <c r="I76" s="25">
        <v>6600</v>
      </c>
      <c r="J76" s="25">
        <v>2</v>
      </c>
      <c r="K76" s="25">
        <v>4</v>
      </c>
      <c r="L76" s="25">
        <v>4</v>
      </c>
      <c r="M76" s="26" t="str">
        <f t="shared" si="2"/>
        <v>37-45</v>
      </c>
      <c r="N76" s="26" t="str">
        <f t="shared" si="3"/>
        <v>High</v>
      </c>
    </row>
    <row r="77" spans="1:14" ht="17" x14ac:dyDescent="0.2">
      <c r="A77" s="19">
        <v>74</v>
      </c>
      <c r="B77" s="19">
        <v>23</v>
      </c>
      <c r="C77" s="21" t="s">
        <v>62</v>
      </c>
      <c r="D77" s="3" t="s">
        <v>65</v>
      </c>
      <c r="E77" s="19">
        <v>85000</v>
      </c>
      <c r="F77" s="3" t="s">
        <v>73</v>
      </c>
      <c r="G77" s="3" t="s">
        <v>44</v>
      </c>
      <c r="H77" s="19">
        <v>6</v>
      </c>
      <c r="I77" s="19">
        <v>7400</v>
      </c>
      <c r="J77" s="19">
        <v>4</v>
      </c>
      <c r="K77" s="19">
        <v>3</v>
      </c>
      <c r="L77" s="19">
        <v>5</v>
      </c>
      <c r="M77" s="21" t="str">
        <f t="shared" si="2"/>
        <v>18-24</v>
      </c>
      <c r="N77" s="21" t="str">
        <f t="shared" si="3"/>
        <v>Middle</v>
      </c>
    </row>
    <row r="78" spans="1:14" ht="17" x14ac:dyDescent="0.2">
      <c r="A78" s="25">
        <v>75</v>
      </c>
      <c r="B78" s="25">
        <v>34</v>
      </c>
      <c r="C78" s="26" t="s">
        <v>62</v>
      </c>
      <c r="D78" s="27" t="s">
        <v>66</v>
      </c>
      <c r="E78" s="25">
        <v>99000</v>
      </c>
      <c r="F78" s="27" t="s">
        <v>43</v>
      </c>
      <c r="G78" s="27" t="s">
        <v>72</v>
      </c>
      <c r="H78" s="25">
        <v>2</v>
      </c>
      <c r="I78" s="25">
        <v>6000</v>
      </c>
      <c r="J78" s="25">
        <v>2</v>
      </c>
      <c r="K78" s="25">
        <v>3</v>
      </c>
      <c r="L78" s="25">
        <v>5</v>
      </c>
      <c r="M78" s="26" t="str">
        <f t="shared" si="2"/>
        <v>31-36</v>
      </c>
      <c r="N78" s="26" t="str">
        <f t="shared" si="3"/>
        <v>High</v>
      </c>
    </row>
    <row r="79" spans="1:14" ht="17" x14ac:dyDescent="0.2">
      <c r="A79" s="19">
        <v>76</v>
      </c>
      <c r="B79" s="19">
        <v>44</v>
      </c>
      <c r="C79" s="21" t="s">
        <v>62</v>
      </c>
      <c r="D79" s="3" t="s">
        <v>65</v>
      </c>
      <c r="E79" s="19">
        <v>97000</v>
      </c>
      <c r="F79" s="3" t="s">
        <v>76</v>
      </c>
      <c r="G79" s="3" t="s">
        <v>72</v>
      </c>
      <c r="H79" s="19">
        <v>2</v>
      </c>
      <c r="I79" s="19">
        <v>6500</v>
      </c>
      <c r="J79" s="19">
        <v>2</v>
      </c>
      <c r="K79" s="19">
        <v>3</v>
      </c>
      <c r="L79" s="19">
        <v>4</v>
      </c>
      <c r="M79" s="21" t="str">
        <f t="shared" si="2"/>
        <v>37-45</v>
      </c>
      <c r="N79" s="21" t="str">
        <f t="shared" si="3"/>
        <v>High</v>
      </c>
    </row>
    <row r="80" spans="1:14" ht="17" x14ac:dyDescent="0.2">
      <c r="A80" s="25">
        <v>77</v>
      </c>
      <c r="B80" s="25">
        <v>38</v>
      </c>
      <c r="C80" s="26" t="s">
        <v>22</v>
      </c>
      <c r="D80" s="27" t="s">
        <v>66</v>
      </c>
      <c r="E80" s="25">
        <v>106000</v>
      </c>
      <c r="F80" s="27" t="s">
        <v>43</v>
      </c>
      <c r="G80" s="27" t="s">
        <v>72</v>
      </c>
      <c r="H80" s="25">
        <v>4</v>
      </c>
      <c r="I80" s="25">
        <v>7500</v>
      </c>
      <c r="J80" s="25">
        <v>3</v>
      </c>
      <c r="K80" s="25">
        <v>5</v>
      </c>
      <c r="L80" s="25">
        <v>5</v>
      </c>
      <c r="M80" s="26" t="str">
        <f t="shared" si="2"/>
        <v>37-45</v>
      </c>
      <c r="N80" s="26" t="str">
        <f t="shared" si="3"/>
        <v>High</v>
      </c>
    </row>
    <row r="81" spans="1:14" ht="17" x14ac:dyDescent="0.2">
      <c r="A81" s="19">
        <v>78</v>
      </c>
      <c r="B81" s="19">
        <v>21</v>
      </c>
      <c r="C81" s="21" t="s">
        <v>62</v>
      </c>
      <c r="D81" s="3" t="s">
        <v>66</v>
      </c>
      <c r="E81" s="19">
        <v>79000</v>
      </c>
      <c r="F81" s="3" t="s">
        <v>73</v>
      </c>
      <c r="G81" s="3" t="s">
        <v>44</v>
      </c>
      <c r="H81" s="19">
        <v>7</v>
      </c>
      <c r="I81" s="19">
        <v>6000</v>
      </c>
      <c r="J81" s="19">
        <v>4</v>
      </c>
      <c r="K81" s="19">
        <v>4</v>
      </c>
      <c r="L81" s="19">
        <v>5</v>
      </c>
      <c r="M81" s="21" t="str">
        <f t="shared" si="2"/>
        <v>18-24</v>
      </c>
      <c r="N81" s="21" t="str">
        <f t="shared" si="3"/>
        <v>Middle</v>
      </c>
    </row>
    <row r="82" spans="1:14" ht="17" x14ac:dyDescent="0.2">
      <c r="A82" s="25">
        <v>79</v>
      </c>
      <c r="B82" s="25">
        <v>26</v>
      </c>
      <c r="C82" s="26" t="s">
        <v>22</v>
      </c>
      <c r="D82" s="27" t="s">
        <v>67</v>
      </c>
      <c r="E82" s="25">
        <v>74000</v>
      </c>
      <c r="F82" s="27" t="s">
        <v>71</v>
      </c>
      <c r="G82" s="27" t="s">
        <v>72</v>
      </c>
      <c r="H82" s="25">
        <v>5</v>
      </c>
      <c r="I82" s="25">
        <v>4800</v>
      </c>
      <c r="J82" s="25">
        <v>4</v>
      </c>
      <c r="K82" s="25">
        <v>2</v>
      </c>
      <c r="L82" s="25">
        <v>3</v>
      </c>
      <c r="M82" s="26" t="str">
        <f t="shared" si="2"/>
        <v>25-30</v>
      </c>
      <c r="N82" s="26" t="str">
        <f t="shared" si="3"/>
        <v>Middle</v>
      </c>
    </row>
    <row r="83" spans="1:14" ht="17" x14ac:dyDescent="0.2">
      <c r="A83" s="19">
        <v>80</v>
      </c>
      <c r="B83" s="19">
        <v>34</v>
      </c>
      <c r="C83" s="21" t="s">
        <v>22</v>
      </c>
      <c r="D83" s="3" t="s">
        <v>64</v>
      </c>
      <c r="E83" s="19">
        <v>97000</v>
      </c>
      <c r="F83" s="3" t="s">
        <v>76</v>
      </c>
      <c r="G83" s="3" t="s">
        <v>44</v>
      </c>
      <c r="H83" s="19">
        <v>6</v>
      </c>
      <c r="I83" s="19">
        <v>6000</v>
      </c>
      <c r="J83" s="19">
        <v>3</v>
      </c>
      <c r="K83" s="19">
        <v>4</v>
      </c>
      <c r="L83" s="19">
        <v>5</v>
      </c>
      <c r="M83" s="21" t="str">
        <f t="shared" si="2"/>
        <v>31-36</v>
      </c>
      <c r="N83" s="21" t="str">
        <f t="shared" si="3"/>
        <v>High</v>
      </c>
    </row>
    <row r="84" spans="1:14" ht="17" x14ac:dyDescent="0.2">
      <c r="A84" s="25">
        <v>81</v>
      </c>
      <c r="B84" s="25">
        <v>33</v>
      </c>
      <c r="C84" s="26" t="s">
        <v>22</v>
      </c>
      <c r="D84" s="27" t="s">
        <v>67</v>
      </c>
      <c r="E84" s="25">
        <v>93000</v>
      </c>
      <c r="F84" s="27" t="s">
        <v>76</v>
      </c>
      <c r="G84" s="27" t="s">
        <v>72</v>
      </c>
      <c r="H84" s="25">
        <v>1</v>
      </c>
      <c r="I84" s="25">
        <v>5800</v>
      </c>
      <c r="J84" s="25">
        <v>3</v>
      </c>
      <c r="K84" s="25">
        <v>3</v>
      </c>
      <c r="L84" s="25">
        <v>4</v>
      </c>
      <c r="M84" s="26" t="str">
        <f t="shared" si="2"/>
        <v>31-36</v>
      </c>
      <c r="N84" s="26" t="str">
        <f t="shared" si="3"/>
        <v>High</v>
      </c>
    </row>
    <row r="85" spans="1:14" ht="17" x14ac:dyDescent="0.2">
      <c r="A85" s="19">
        <v>82</v>
      </c>
      <c r="B85" s="19">
        <v>44</v>
      </c>
      <c r="C85" s="21" t="s">
        <v>62</v>
      </c>
      <c r="D85" s="3" t="s">
        <v>65</v>
      </c>
      <c r="E85" s="19">
        <v>100000</v>
      </c>
      <c r="F85" s="3" t="s">
        <v>43</v>
      </c>
      <c r="G85" s="3" t="s">
        <v>44</v>
      </c>
      <c r="H85" s="19">
        <v>5</v>
      </c>
      <c r="I85" s="19">
        <v>7800</v>
      </c>
      <c r="J85" s="19">
        <v>2</v>
      </c>
      <c r="K85" s="19">
        <v>5</v>
      </c>
      <c r="L85" s="19">
        <v>5</v>
      </c>
      <c r="M85" s="21" t="str">
        <f t="shared" si="2"/>
        <v>37-45</v>
      </c>
      <c r="N85" s="21" t="str">
        <f t="shared" si="3"/>
        <v>High</v>
      </c>
    </row>
    <row r="86" spans="1:14" ht="17" x14ac:dyDescent="0.2">
      <c r="A86" s="25">
        <v>83</v>
      </c>
      <c r="B86" s="25">
        <v>33</v>
      </c>
      <c r="C86" s="26" t="s">
        <v>63</v>
      </c>
      <c r="D86" s="27" t="s">
        <v>66</v>
      </c>
      <c r="E86" s="25">
        <v>95000</v>
      </c>
      <c r="F86" s="27" t="s">
        <v>73</v>
      </c>
      <c r="G86" s="27" t="s">
        <v>44</v>
      </c>
      <c r="H86" s="25">
        <v>3</v>
      </c>
      <c r="I86" s="25">
        <v>6600</v>
      </c>
      <c r="J86" s="25">
        <v>2</v>
      </c>
      <c r="K86" s="25">
        <v>4</v>
      </c>
      <c r="L86" s="25">
        <v>4</v>
      </c>
      <c r="M86" s="26" t="str">
        <f t="shared" si="2"/>
        <v>31-36</v>
      </c>
      <c r="N86" s="26" t="str">
        <f t="shared" si="3"/>
        <v>High</v>
      </c>
    </row>
    <row r="87" spans="1:14" ht="17" x14ac:dyDescent="0.2">
      <c r="A87" s="19">
        <v>84</v>
      </c>
      <c r="B87" s="19">
        <v>43</v>
      </c>
      <c r="C87" s="21" t="s">
        <v>62</v>
      </c>
      <c r="D87" s="3" t="s">
        <v>66</v>
      </c>
      <c r="E87" s="19">
        <v>121000</v>
      </c>
      <c r="F87" s="3" t="s">
        <v>43</v>
      </c>
      <c r="G87" s="3" t="s">
        <v>72</v>
      </c>
      <c r="H87" s="19">
        <v>5</v>
      </c>
      <c r="I87" s="19">
        <v>8300</v>
      </c>
      <c r="J87" s="19">
        <v>2</v>
      </c>
      <c r="K87" s="19">
        <v>4</v>
      </c>
      <c r="L87" s="19">
        <v>5</v>
      </c>
      <c r="M87" s="21" t="str">
        <f t="shared" si="2"/>
        <v>37-45</v>
      </c>
      <c r="N87" s="21" t="str">
        <f t="shared" si="3"/>
        <v>High</v>
      </c>
    </row>
    <row r="88" spans="1:14" ht="17" x14ac:dyDescent="0.2">
      <c r="A88" s="25">
        <v>85</v>
      </c>
      <c r="B88" s="25">
        <v>32</v>
      </c>
      <c r="C88" s="26" t="s">
        <v>62</v>
      </c>
      <c r="D88" s="27" t="s">
        <v>66</v>
      </c>
      <c r="E88" s="25">
        <v>94000</v>
      </c>
      <c r="F88" s="27" t="s">
        <v>71</v>
      </c>
      <c r="G88" s="27" t="s">
        <v>44</v>
      </c>
      <c r="H88" s="25">
        <v>4</v>
      </c>
      <c r="I88" s="25">
        <v>6800</v>
      </c>
      <c r="J88" s="25">
        <v>3</v>
      </c>
      <c r="K88" s="25">
        <v>5</v>
      </c>
      <c r="L88" s="25">
        <v>5</v>
      </c>
      <c r="M88" s="26" t="str">
        <f t="shared" si="2"/>
        <v>31-36</v>
      </c>
      <c r="N88" s="26" t="str">
        <f t="shared" si="3"/>
        <v>High</v>
      </c>
    </row>
    <row r="89" spans="1:14" ht="17" x14ac:dyDescent="0.2">
      <c r="A89" s="19">
        <v>86</v>
      </c>
      <c r="B89" s="19">
        <v>25</v>
      </c>
      <c r="C89" s="21" t="s">
        <v>62</v>
      </c>
      <c r="D89" s="3" t="s">
        <v>66</v>
      </c>
      <c r="E89" s="19">
        <v>73000</v>
      </c>
      <c r="F89" s="3" t="s">
        <v>43</v>
      </c>
      <c r="G89" s="3" t="s">
        <v>72</v>
      </c>
      <c r="H89" s="19">
        <v>4</v>
      </c>
      <c r="I89" s="19">
        <v>6400</v>
      </c>
      <c r="J89" s="19">
        <v>4</v>
      </c>
      <c r="K89" s="19">
        <v>4</v>
      </c>
      <c r="L89" s="19">
        <v>5</v>
      </c>
      <c r="M89" s="21" t="str">
        <f t="shared" si="2"/>
        <v>25-30</v>
      </c>
      <c r="N89" s="21" t="str">
        <f t="shared" si="3"/>
        <v>Middle</v>
      </c>
    </row>
    <row r="90" spans="1:14" ht="17" x14ac:dyDescent="0.2">
      <c r="A90" s="25">
        <v>87</v>
      </c>
      <c r="B90" s="25">
        <v>19</v>
      </c>
      <c r="C90" s="26" t="s">
        <v>22</v>
      </c>
      <c r="D90" s="27" t="s">
        <v>67</v>
      </c>
      <c r="E90" s="25">
        <v>59000</v>
      </c>
      <c r="F90" s="27" t="s">
        <v>74</v>
      </c>
      <c r="G90" s="27" t="s">
        <v>72</v>
      </c>
      <c r="H90" s="25">
        <v>2</v>
      </c>
      <c r="I90" s="25">
        <v>4100</v>
      </c>
      <c r="J90" s="25">
        <v>5</v>
      </c>
      <c r="K90" s="25">
        <v>3</v>
      </c>
      <c r="L90" s="25">
        <v>5</v>
      </c>
      <c r="M90" s="26" t="str">
        <f t="shared" si="2"/>
        <v>18-24</v>
      </c>
      <c r="N90" s="26" t="str">
        <f t="shared" si="3"/>
        <v>Middle</v>
      </c>
    </row>
    <row r="91" spans="1:14" ht="17" x14ac:dyDescent="0.2">
      <c r="A91" s="19">
        <v>88</v>
      </c>
      <c r="B91" s="19">
        <v>31</v>
      </c>
      <c r="C91" s="21" t="s">
        <v>62</v>
      </c>
      <c r="D91" s="3" t="s">
        <v>67</v>
      </c>
      <c r="E91" s="19">
        <v>72000</v>
      </c>
      <c r="F91" s="3" t="s">
        <v>73</v>
      </c>
      <c r="G91" s="3" t="s">
        <v>72</v>
      </c>
      <c r="H91" s="19">
        <v>1</v>
      </c>
      <c r="I91" s="19">
        <v>6400</v>
      </c>
      <c r="J91" s="19">
        <v>3</v>
      </c>
      <c r="K91" s="19">
        <v>3</v>
      </c>
      <c r="L91" s="19">
        <v>5</v>
      </c>
      <c r="M91" s="21" t="str">
        <f t="shared" si="2"/>
        <v>31-36</v>
      </c>
      <c r="N91" s="21" t="str">
        <f t="shared" si="3"/>
        <v>Middle</v>
      </c>
    </row>
    <row r="92" spans="1:14" ht="17" x14ac:dyDescent="0.2">
      <c r="A92" s="25">
        <v>89</v>
      </c>
      <c r="B92" s="25">
        <v>45</v>
      </c>
      <c r="C92" s="26" t="s">
        <v>62</v>
      </c>
      <c r="D92" s="27" t="s">
        <v>65</v>
      </c>
      <c r="E92" s="25">
        <v>108000</v>
      </c>
      <c r="F92" s="27" t="s">
        <v>74</v>
      </c>
      <c r="G92" s="27" t="s">
        <v>72</v>
      </c>
      <c r="H92" s="25">
        <v>2</v>
      </c>
      <c r="I92" s="25">
        <v>6600</v>
      </c>
      <c r="J92" s="25">
        <v>2</v>
      </c>
      <c r="K92" s="25">
        <v>4</v>
      </c>
      <c r="L92" s="25">
        <v>4</v>
      </c>
      <c r="M92" s="26" t="str">
        <f t="shared" si="2"/>
        <v>37-45</v>
      </c>
      <c r="N92" s="26" t="str">
        <f t="shared" si="3"/>
        <v>High</v>
      </c>
    </row>
    <row r="93" spans="1:14" ht="17" x14ac:dyDescent="0.2">
      <c r="A93" s="19">
        <v>90</v>
      </c>
      <c r="B93" s="19">
        <v>39</v>
      </c>
      <c r="C93" s="21" t="s">
        <v>62</v>
      </c>
      <c r="D93" s="3" t="s">
        <v>67</v>
      </c>
      <c r="E93" s="19">
        <v>109000</v>
      </c>
      <c r="F93" s="3" t="s">
        <v>73</v>
      </c>
      <c r="G93" s="3" t="s">
        <v>72</v>
      </c>
      <c r="H93" s="19">
        <v>5</v>
      </c>
      <c r="I93" s="19">
        <v>7100</v>
      </c>
      <c r="J93" s="19">
        <v>1</v>
      </c>
      <c r="K93" s="19">
        <v>4</v>
      </c>
      <c r="L93" s="19">
        <v>4</v>
      </c>
      <c r="M93" s="21" t="str">
        <f t="shared" si="2"/>
        <v>37-45</v>
      </c>
      <c r="N93" s="21" t="str">
        <f t="shared" si="3"/>
        <v>High</v>
      </c>
    </row>
    <row r="94" spans="1:14" ht="17" x14ac:dyDescent="0.2">
      <c r="A94" s="25">
        <v>91</v>
      </c>
      <c r="B94" s="25">
        <v>27</v>
      </c>
      <c r="C94" s="26" t="s">
        <v>62</v>
      </c>
      <c r="D94" s="27" t="s">
        <v>42</v>
      </c>
      <c r="E94" s="25">
        <v>91000</v>
      </c>
      <c r="F94" s="27" t="s">
        <v>43</v>
      </c>
      <c r="G94" s="27" t="s">
        <v>44</v>
      </c>
      <c r="H94" s="25">
        <v>5</v>
      </c>
      <c r="I94" s="25">
        <v>6700</v>
      </c>
      <c r="J94" s="25">
        <v>3</v>
      </c>
      <c r="K94" s="25">
        <v>4</v>
      </c>
      <c r="L94" s="25">
        <v>5</v>
      </c>
      <c r="M94" s="26" t="str">
        <f t="shared" si="2"/>
        <v>25-30</v>
      </c>
      <c r="N94" s="26" t="str">
        <f t="shared" si="3"/>
        <v>High</v>
      </c>
    </row>
    <row r="95" spans="1:14" ht="17" x14ac:dyDescent="0.2">
      <c r="A95" s="19">
        <v>92</v>
      </c>
      <c r="B95" s="19">
        <v>20</v>
      </c>
      <c r="C95" s="21" t="s">
        <v>62</v>
      </c>
      <c r="D95" s="3" t="s">
        <v>66</v>
      </c>
      <c r="E95" s="19">
        <v>76000</v>
      </c>
      <c r="F95" s="3" t="s">
        <v>43</v>
      </c>
      <c r="G95" s="3" t="s">
        <v>72</v>
      </c>
      <c r="H95" s="19">
        <v>5</v>
      </c>
      <c r="I95" s="19">
        <v>5500</v>
      </c>
      <c r="J95" s="19">
        <v>4</v>
      </c>
      <c r="K95" s="19">
        <v>3</v>
      </c>
      <c r="L95" s="19">
        <v>4</v>
      </c>
      <c r="M95" s="21" t="str">
        <f t="shared" si="2"/>
        <v>18-24</v>
      </c>
      <c r="N95" s="21" t="str">
        <f t="shared" si="3"/>
        <v>Middle</v>
      </c>
    </row>
    <row r="96" spans="1:14" ht="17" x14ac:dyDescent="0.2">
      <c r="A96" s="25">
        <v>93</v>
      </c>
      <c r="B96" s="25">
        <v>18</v>
      </c>
      <c r="C96" s="26" t="s">
        <v>62</v>
      </c>
      <c r="D96" s="27" t="s">
        <v>65</v>
      </c>
      <c r="E96" s="25">
        <v>59000</v>
      </c>
      <c r="F96" s="27" t="s">
        <v>43</v>
      </c>
      <c r="G96" s="27" t="s">
        <v>44</v>
      </c>
      <c r="H96" s="25">
        <v>5</v>
      </c>
      <c r="I96" s="25">
        <v>5300</v>
      </c>
      <c r="J96" s="25">
        <v>4</v>
      </c>
      <c r="K96" s="25">
        <v>3</v>
      </c>
      <c r="L96" s="25">
        <v>5</v>
      </c>
      <c r="M96" s="26" t="str">
        <f t="shared" si="2"/>
        <v>18-24</v>
      </c>
      <c r="N96" s="26" t="str">
        <f t="shared" si="3"/>
        <v>Middle</v>
      </c>
    </row>
    <row r="97" spans="1:14" ht="17" x14ac:dyDescent="0.2">
      <c r="A97" s="19">
        <v>94</v>
      </c>
      <c r="B97" s="19">
        <v>31</v>
      </c>
      <c r="C97" s="21" t="s">
        <v>62</v>
      </c>
      <c r="D97" s="3" t="s">
        <v>66</v>
      </c>
      <c r="E97" s="19">
        <v>84000</v>
      </c>
      <c r="F97" s="3" t="s">
        <v>43</v>
      </c>
      <c r="G97" s="3" t="s">
        <v>44</v>
      </c>
      <c r="H97" s="19">
        <v>5</v>
      </c>
      <c r="I97" s="19">
        <v>6500</v>
      </c>
      <c r="J97" s="19">
        <v>2</v>
      </c>
      <c r="K97" s="19">
        <v>4</v>
      </c>
      <c r="L97" s="19">
        <v>5</v>
      </c>
      <c r="M97" s="21" t="str">
        <f t="shared" si="2"/>
        <v>31-36</v>
      </c>
      <c r="N97" s="21" t="str">
        <f t="shared" si="3"/>
        <v>Middle</v>
      </c>
    </row>
    <row r="98" spans="1:14" ht="17" x14ac:dyDescent="0.2">
      <c r="A98" s="25">
        <v>95</v>
      </c>
      <c r="B98" s="25">
        <v>40</v>
      </c>
      <c r="C98" s="26" t="s">
        <v>22</v>
      </c>
      <c r="D98" s="27" t="s">
        <v>67</v>
      </c>
      <c r="E98" s="25">
        <v>108000</v>
      </c>
      <c r="F98" s="27" t="s">
        <v>73</v>
      </c>
      <c r="G98" s="27" t="s">
        <v>44</v>
      </c>
      <c r="H98" s="25">
        <v>6</v>
      </c>
      <c r="I98" s="25">
        <v>7300</v>
      </c>
      <c r="J98" s="25">
        <v>2</v>
      </c>
      <c r="K98" s="25">
        <v>5</v>
      </c>
      <c r="L98" s="25">
        <v>5</v>
      </c>
      <c r="M98" s="26" t="str">
        <f t="shared" si="2"/>
        <v>37-45</v>
      </c>
      <c r="N98" s="26" t="str">
        <f t="shared" si="3"/>
        <v>High</v>
      </c>
    </row>
    <row r="99" spans="1:14" ht="17" x14ac:dyDescent="0.2">
      <c r="A99" s="19">
        <v>96</v>
      </c>
      <c r="B99" s="19">
        <v>27</v>
      </c>
      <c r="C99" s="21" t="s">
        <v>62</v>
      </c>
      <c r="D99" s="3" t="s">
        <v>42</v>
      </c>
      <c r="E99" s="19">
        <v>91000</v>
      </c>
      <c r="F99" s="3" t="s">
        <v>73</v>
      </c>
      <c r="G99" s="3" t="s">
        <v>72</v>
      </c>
      <c r="H99" s="19">
        <v>4</v>
      </c>
      <c r="I99" s="19">
        <v>7800</v>
      </c>
      <c r="J99" s="19">
        <v>3</v>
      </c>
      <c r="K99" s="19">
        <v>4</v>
      </c>
      <c r="L99" s="19">
        <v>5</v>
      </c>
      <c r="M99" s="21" t="str">
        <f t="shared" si="2"/>
        <v>25-30</v>
      </c>
      <c r="N99" s="21" t="str">
        <f t="shared" si="3"/>
        <v>High</v>
      </c>
    </row>
    <row r="100" spans="1:14" ht="17" x14ac:dyDescent="0.2">
      <c r="A100" s="25">
        <v>97</v>
      </c>
      <c r="B100" s="25">
        <v>38</v>
      </c>
      <c r="C100" s="26" t="s">
        <v>62</v>
      </c>
      <c r="D100" s="27" t="s">
        <v>66</v>
      </c>
      <c r="E100" s="25">
        <v>101000</v>
      </c>
      <c r="F100" s="27" t="s">
        <v>71</v>
      </c>
      <c r="G100" s="27" t="s">
        <v>72</v>
      </c>
      <c r="H100" s="25">
        <v>4</v>
      </c>
      <c r="I100" s="25">
        <v>5600</v>
      </c>
      <c r="J100" s="25">
        <v>1</v>
      </c>
      <c r="K100" s="25">
        <v>3</v>
      </c>
      <c r="L100" s="25">
        <v>3</v>
      </c>
      <c r="M100" s="26" t="str">
        <f t="shared" si="2"/>
        <v>37-45</v>
      </c>
      <c r="N100" s="26" t="str">
        <f t="shared" si="3"/>
        <v>High</v>
      </c>
    </row>
    <row r="101" spans="1:14" ht="17" x14ac:dyDescent="0.2">
      <c r="A101" s="19">
        <v>98</v>
      </c>
      <c r="B101" s="19">
        <v>22</v>
      </c>
      <c r="C101" s="21" t="s">
        <v>62</v>
      </c>
      <c r="D101" s="3" t="s">
        <v>67</v>
      </c>
      <c r="E101" s="19">
        <v>66000</v>
      </c>
      <c r="F101" s="3" t="s">
        <v>43</v>
      </c>
      <c r="G101" s="3" t="s">
        <v>72</v>
      </c>
      <c r="H101" s="19">
        <v>6</v>
      </c>
      <c r="I101" s="19">
        <v>6400</v>
      </c>
      <c r="J101" s="19">
        <v>4</v>
      </c>
      <c r="K101" s="19">
        <v>4</v>
      </c>
      <c r="L101" s="19">
        <v>5</v>
      </c>
      <c r="M101" s="21" t="str">
        <f t="shared" si="2"/>
        <v>18-24</v>
      </c>
      <c r="N101" s="21" t="str">
        <f t="shared" si="3"/>
        <v>Middle</v>
      </c>
    </row>
    <row r="102" spans="1:14" ht="17" x14ac:dyDescent="0.2">
      <c r="A102" s="25">
        <v>99</v>
      </c>
      <c r="B102" s="25">
        <v>27</v>
      </c>
      <c r="C102" s="26" t="s">
        <v>62</v>
      </c>
      <c r="D102" s="27" t="s">
        <v>66</v>
      </c>
      <c r="E102" s="25">
        <v>70000</v>
      </c>
      <c r="F102" s="27" t="s">
        <v>43</v>
      </c>
      <c r="G102" s="27" t="s">
        <v>44</v>
      </c>
      <c r="H102" s="25">
        <v>7</v>
      </c>
      <c r="I102" s="25">
        <v>6100</v>
      </c>
      <c r="J102" s="25">
        <v>3</v>
      </c>
      <c r="K102" s="25">
        <v>4</v>
      </c>
      <c r="L102" s="25">
        <v>5</v>
      </c>
      <c r="M102" s="26" t="str">
        <f t="shared" si="2"/>
        <v>25-30</v>
      </c>
      <c r="N102" s="26" t="str">
        <f t="shared" si="3"/>
        <v>Middle</v>
      </c>
    </row>
    <row r="103" spans="1:14" ht="17" x14ac:dyDescent="0.2">
      <c r="A103" s="19">
        <v>100</v>
      </c>
      <c r="B103" s="19">
        <v>43</v>
      </c>
      <c r="C103" s="21" t="s">
        <v>62</v>
      </c>
      <c r="D103" s="3" t="s">
        <v>42</v>
      </c>
      <c r="E103" s="19">
        <v>106000</v>
      </c>
      <c r="F103" s="3" t="s">
        <v>73</v>
      </c>
      <c r="G103" s="3" t="s">
        <v>72</v>
      </c>
      <c r="H103" s="19">
        <v>4</v>
      </c>
      <c r="I103" s="19">
        <v>8100</v>
      </c>
      <c r="J103" s="19">
        <v>1</v>
      </c>
      <c r="K103" s="19">
        <v>4</v>
      </c>
      <c r="L103" s="19">
        <v>4</v>
      </c>
      <c r="M103" s="21" t="str">
        <f t="shared" si="2"/>
        <v>37-45</v>
      </c>
      <c r="N103" s="21" t="str">
        <f t="shared" si="3"/>
        <v>High</v>
      </c>
    </row>
    <row r="105" spans="1:14" ht="13" customHeight="1" x14ac:dyDescent="0.2">
      <c r="A105" s="29" t="s">
        <v>84</v>
      </c>
      <c r="B105" s="29"/>
      <c r="C105" s="29"/>
      <c r="D105" s="29"/>
      <c r="E105" s="29"/>
      <c r="F105" s="29"/>
    </row>
    <row r="106" spans="1:14" ht="46" customHeight="1" x14ac:dyDescent="0.2">
      <c r="A106" s="29"/>
      <c r="B106" s="29"/>
      <c r="C106" s="29"/>
      <c r="D106" s="29"/>
      <c r="E106" s="29"/>
      <c r="F106" s="29"/>
    </row>
    <row r="108" spans="1:14" x14ac:dyDescent="0.2">
      <c r="B108" s="31" t="s">
        <v>86</v>
      </c>
      <c r="C108" s="30"/>
      <c r="E108" s="37" t="s">
        <v>94</v>
      </c>
      <c r="F108" s="38"/>
      <c r="H108" s="37" t="s">
        <v>95</v>
      </c>
      <c r="I108" s="38"/>
      <c r="K108" s="37" t="s">
        <v>116</v>
      </c>
      <c r="L108" s="38"/>
    </row>
    <row r="109" spans="1:14" x14ac:dyDescent="0.2">
      <c r="B109" s="33" t="s">
        <v>87</v>
      </c>
      <c r="C109" s="34">
        <f>COUNT(A4:A103)</f>
        <v>100</v>
      </c>
      <c r="K109" t="s">
        <v>112</v>
      </c>
      <c r="L109" s="43">
        <f>COUNTIF(M4:M103,M96)</f>
        <v>26</v>
      </c>
    </row>
    <row r="110" spans="1:14" x14ac:dyDescent="0.2">
      <c r="B110" s="33" t="s">
        <v>88</v>
      </c>
      <c r="C110" s="35">
        <f>ROUND(AVERAGE(B4:B103),)</f>
        <v>31</v>
      </c>
      <c r="E110" t="s">
        <v>76</v>
      </c>
      <c r="F110" s="21">
        <f>COUNTIF(F4:F103,F16)</f>
        <v>20</v>
      </c>
      <c r="H110" t="s">
        <v>44</v>
      </c>
      <c r="I110" s="21">
        <f>COUNTIF(G4:G103,G85)</f>
        <v>40</v>
      </c>
      <c r="K110" t="s">
        <v>113</v>
      </c>
      <c r="L110" s="43">
        <f>COUNTIF(M4:M103,M99)</f>
        <v>18</v>
      </c>
    </row>
    <row r="111" spans="1:14" x14ac:dyDescent="0.2">
      <c r="B111" s="33" t="s">
        <v>89</v>
      </c>
      <c r="C111" s="35">
        <f>ROUND(AVERAGE(E4:E103),)</f>
        <v>87840</v>
      </c>
      <c r="E111" t="s">
        <v>43</v>
      </c>
      <c r="F111" s="21">
        <f>COUNTIF(F4:F103,F101)</f>
        <v>31</v>
      </c>
      <c r="H111" t="s">
        <v>72</v>
      </c>
      <c r="I111" s="21">
        <f>COUNTIF(G4:G103,G92)</f>
        <v>60</v>
      </c>
      <c r="K111" t="s">
        <v>114</v>
      </c>
      <c r="L111" s="43">
        <f>COUNTIF(M4:M103,M88)</f>
        <v>25</v>
      </c>
    </row>
    <row r="112" spans="1:14" x14ac:dyDescent="0.2">
      <c r="B112" s="33" t="s">
        <v>90</v>
      </c>
      <c r="C112" s="35">
        <f>ROUND(AVERAGE(I4:I103),)</f>
        <v>6156</v>
      </c>
      <c r="E112" t="s">
        <v>74</v>
      </c>
      <c r="F112" s="21">
        <f>COUNTIF(F4:F103,F90)</f>
        <v>14</v>
      </c>
      <c r="K112" t="s">
        <v>115</v>
      </c>
      <c r="L112" s="43">
        <f>COUNTIF(M4:M103,M100)</f>
        <v>31</v>
      </c>
    </row>
    <row r="113" spans="2:6" x14ac:dyDescent="0.2">
      <c r="B113" s="33" t="s">
        <v>91</v>
      </c>
      <c r="C113" s="36">
        <f>ROUND(AVERAGE(L4:L103),)</f>
        <v>5</v>
      </c>
      <c r="E113" t="s">
        <v>73</v>
      </c>
      <c r="F113" s="21">
        <f>COUNTIF(F4:F103,F103)</f>
        <v>17</v>
      </c>
    </row>
    <row r="114" spans="2:6" x14ac:dyDescent="0.2">
      <c r="B114" s="33" t="s">
        <v>92</v>
      </c>
      <c r="C114" s="34" t="s">
        <v>43</v>
      </c>
      <c r="E114" t="s">
        <v>71</v>
      </c>
      <c r="F114" s="21">
        <f>COUNTIF(F4:F103,F100)</f>
        <v>18</v>
      </c>
    </row>
    <row r="115" spans="2:6" x14ac:dyDescent="0.2">
      <c r="B115" s="33" t="s">
        <v>93</v>
      </c>
      <c r="C115" s="34" t="s">
        <v>72</v>
      </c>
    </row>
    <row r="118" spans="2:6" x14ac:dyDescent="0.2">
      <c r="B118" s="37" t="s">
        <v>122</v>
      </c>
      <c r="C118" s="38"/>
    </row>
    <row r="119" spans="2:6" x14ac:dyDescent="0.2">
      <c r="B119" t="s">
        <v>42</v>
      </c>
      <c r="C119" s="32">
        <f>ROUND(AVERAGEIF(D4:D103,D31,I4:I103),0)</f>
        <v>6005</v>
      </c>
    </row>
    <row r="120" spans="2:6" x14ac:dyDescent="0.2">
      <c r="B120" t="s">
        <v>66</v>
      </c>
      <c r="C120" s="32">
        <f>ROUND(AVERAGEIF(D4:D103,D95,I4:I103),0)</f>
        <v>6424</v>
      </c>
    </row>
    <row r="121" spans="2:6" x14ac:dyDescent="0.2">
      <c r="B121" t="s">
        <v>65</v>
      </c>
      <c r="C121" s="32">
        <f>ROUND(AVERAGEIF(D4:D103,D96,I4:I103),0)</f>
        <v>6241</v>
      </c>
    </row>
    <row r="122" spans="2:6" x14ac:dyDescent="0.2">
      <c r="B122" t="s">
        <v>64</v>
      </c>
      <c r="C122" s="32">
        <f>ROUND(AVERAGEIF(D4:D103,D83,I4:I103),0)</f>
        <v>5950</v>
      </c>
    </row>
    <row r="123" spans="2:6" x14ac:dyDescent="0.2">
      <c r="B123" t="s">
        <v>67</v>
      </c>
      <c r="C123" s="32">
        <f>ROUND(AVERAGEIF(D4:D103,D101,I4:I103),0)</f>
        <v>5911</v>
      </c>
    </row>
  </sheetData>
  <mergeCells count="6">
    <mergeCell ref="A1:N1"/>
    <mergeCell ref="A105:F106"/>
    <mergeCell ref="E108:F108"/>
    <mergeCell ref="H108:I108"/>
    <mergeCell ref="K108:L108"/>
    <mergeCell ref="B118:C1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ACA4F-3DDE-6547-A4F2-6675F790D714}">
  <dimension ref="A1:H56"/>
  <sheetViews>
    <sheetView topLeftCell="A8" workbookViewId="0">
      <selection activeCell="E56" sqref="E56"/>
    </sheetView>
  </sheetViews>
  <sheetFormatPr baseColWidth="10" defaultRowHeight="16" x14ac:dyDescent="0.2"/>
  <cols>
    <col min="1" max="1" width="27.6640625" customWidth="1"/>
    <col min="2" max="2" width="39.6640625" customWidth="1"/>
    <col min="4" max="4" width="16.33203125" customWidth="1"/>
    <col min="6" max="6" width="9.6640625" customWidth="1"/>
    <col min="7" max="7" width="17.33203125" customWidth="1"/>
    <col min="8" max="8" width="13.6640625" customWidth="1"/>
  </cols>
  <sheetData>
    <row r="1" spans="1:8" x14ac:dyDescent="0.2">
      <c r="A1" s="15" t="s">
        <v>85</v>
      </c>
      <c r="B1" s="7"/>
      <c r="C1" s="7"/>
      <c r="D1" s="7"/>
      <c r="E1" s="7"/>
      <c r="F1" s="7"/>
      <c r="G1" s="7"/>
      <c r="H1" s="7"/>
    </row>
    <row r="2" spans="1:8" ht="17" thickBot="1" x14ac:dyDescent="0.25"/>
    <row r="3" spans="1:8" x14ac:dyDescent="0.2">
      <c r="A3" s="31" t="s">
        <v>86</v>
      </c>
      <c r="B3" s="30"/>
      <c r="D3" s="42" t="s">
        <v>32</v>
      </c>
      <c r="E3" s="42"/>
      <c r="G3" s="42" t="s">
        <v>28</v>
      </c>
      <c r="H3" s="42"/>
    </row>
    <row r="4" spans="1:8" x14ac:dyDescent="0.2">
      <c r="A4" s="33" t="s">
        <v>87</v>
      </c>
      <c r="B4" s="34">
        <f>'Cleaned data'!C109</f>
        <v>100</v>
      </c>
      <c r="D4" s="39"/>
      <c r="E4" s="39"/>
      <c r="G4" s="39"/>
      <c r="H4" s="39"/>
    </row>
    <row r="5" spans="1:8" x14ac:dyDescent="0.2">
      <c r="A5" s="33" t="s">
        <v>88</v>
      </c>
      <c r="B5" s="35">
        <f>'Cleaned data'!C110</f>
        <v>31</v>
      </c>
      <c r="D5" s="39" t="s">
        <v>96</v>
      </c>
      <c r="E5" s="39">
        <v>4.53</v>
      </c>
      <c r="G5" s="39" t="s">
        <v>96</v>
      </c>
      <c r="H5" s="39">
        <v>4.08</v>
      </c>
    </row>
    <row r="6" spans="1:8" x14ac:dyDescent="0.2">
      <c r="A6" s="33" t="s">
        <v>89</v>
      </c>
      <c r="B6" s="35">
        <f>'Cleaned data'!C111</f>
        <v>87840</v>
      </c>
      <c r="D6" s="39" t="s">
        <v>97</v>
      </c>
      <c r="E6" s="39">
        <v>6.1059666133076861E-2</v>
      </c>
      <c r="G6" s="39" t="s">
        <v>97</v>
      </c>
      <c r="H6" s="39">
        <v>0.14817407180595243</v>
      </c>
    </row>
    <row r="7" spans="1:8" x14ac:dyDescent="0.2">
      <c r="A7" s="33" t="s">
        <v>90</v>
      </c>
      <c r="B7" s="35">
        <f>'Cleaned data'!C112</f>
        <v>6156</v>
      </c>
      <c r="D7" s="39" t="s">
        <v>98</v>
      </c>
      <c r="E7" s="39">
        <v>5</v>
      </c>
      <c r="G7" s="39" t="s">
        <v>98</v>
      </c>
      <c r="H7" s="39">
        <v>4</v>
      </c>
    </row>
    <row r="8" spans="1:8" x14ac:dyDescent="0.2">
      <c r="A8" s="33" t="s">
        <v>91</v>
      </c>
      <c r="B8" s="36">
        <f>'Cleaned data'!C113</f>
        <v>5</v>
      </c>
      <c r="D8" s="39" t="s">
        <v>99</v>
      </c>
      <c r="E8" s="39">
        <v>5</v>
      </c>
      <c r="G8" s="39" t="s">
        <v>99</v>
      </c>
      <c r="H8" s="39">
        <v>4</v>
      </c>
    </row>
    <row r="9" spans="1:8" x14ac:dyDescent="0.2">
      <c r="A9" s="33" t="s">
        <v>92</v>
      </c>
      <c r="B9" s="34" t="s">
        <v>43</v>
      </c>
      <c r="D9" s="39" t="s">
        <v>100</v>
      </c>
      <c r="E9" s="39">
        <v>0.61059666133076862</v>
      </c>
      <c r="G9" s="39" t="s">
        <v>100</v>
      </c>
      <c r="H9" s="39">
        <v>1.4817407180595243</v>
      </c>
    </row>
    <row r="10" spans="1:8" x14ac:dyDescent="0.2">
      <c r="A10" s="33" t="s">
        <v>93</v>
      </c>
      <c r="B10" s="34" t="s">
        <v>72</v>
      </c>
      <c r="D10" s="39" t="s">
        <v>101</v>
      </c>
      <c r="E10" s="39">
        <v>0.37282828282828134</v>
      </c>
      <c r="G10" s="39" t="s">
        <v>101</v>
      </c>
      <c r="H10" s="39">
        <v>2.1955555555555546</v>
      </c>
    </row>
    <row r="11" spans="1:8" x14ac:dyDescent="0.2">
      <c r="D11" s="39" t="s">
        <v>102</v>
      </c>
      <c r="E11" s="39">
        <v>-0.11902385211836863</v>
      </c>
      <c r="G11" s="39" t="s">
        <v>102</v>
      </c>
      <c r="H11" s="39">
        <v>-0.42972632895596519</v>
      </c>
    </row>
    <row r="12" spans="1:8" x14ac:dyDescent="0.2">
      <c r="D12" s="39" t="s">
        <v>103</v>
      </c>
      <c r="E12" s="39">
        <v>-0.93155146779104203</v>
      </c>
      <c r="G12" s="39" t="s">
        <v>103</v>
      </c>
      <c r="H12" s="39">
        <v>-2.6035569462189691E-2</v>
      </c>
    </row>
    <row r="13" spans="1:8" x14ac:dyDescent="0.2">
      <c r="D13" s="39" t="s">
        <v>104</v>
      </c>
      <c r="E13" s="39">
        <v>2</v>
      </c>
      <c r="G13" s="39" t="s">
        <v>104</v>
      </c>
      <c r="H13" s="39">
        <v>6</v>
      </c>
    </row>
    <row r="14" spans="1:8" x14ac:dyDescent="0.2">
      <c r="D14" s="39" t="s">
        <v>105</v>
      </c>
      <c r="E14" s="39">
        <v>3</v>
      </c>
      <c r="G14" s="39" t="s">
        <v>105</v>
      </c>
      <c r="H14" s="39">
        <v>1</v>
      </c>
    </row>
    <row r="15" spans="1:8" x14ac:dyDescent="0.2">
      <c r="D15" s="39" t="s">
        <v>106</v>
      </c>
      <c r="E15" s="39">
        <v>5</v>
      </c>
      <c r="G15" s="39" t="s">
        <v>106</v>
      </c>
      <c r="H15" s="39">
        <v>7</v>
      </c>
    </row>
    <row r="16" spans="1:8" x14ac:dyDescent="0.2">
      <c r="D16" s="39" t="s">
        <v>107</v>
      </c>
      <c r="E16" s="39">
        <v>453</v>
      </c>
      <c r="G16" s="39" t="s">
        <v>107</v>
      </c>
      <c r="H16" s="39">
        <v>408</v>
      </c>
    </row>
    <row r="17" spans="1:8" x14ac:dyDescent="0.2">
      <c r="D17" s="39" t="s">
        <v>108</v>
      </c>
      <c r="E17" s="39">
        <v>100</v>
      </c>
      <c r="G17" s="39" t="s">
        <v>108</v>
      </c>
      <c r="H17" s="39">
        <v>100</v>
      </c>
    </row>
    <row r="18" spans="1:8" x14ac:dyDescent="0.2">
      <c r="D18" s="39" t="s">
        <v>109</v>
      </c>
      <c r="E18" s="39">
        <v>5</v>
      </c>
      <c r="G18" s="39" t="s">
        <v>109</v>
      </c>
      <c r="H18" s="39">
        <v>7</v>
      </c>
    </row>
    <row r="19" spans="1:8" ht="17" thickBot="1" x14ac:dyDescent="0.25">
      <c r="D19" s="40" t="s">
        <v>110</v>
      </c>
      <c r="E19" s="40">
        <v>3</v>
      </c>
      <c r="G19" s="40" t="s">
        <v>110</v>
      </c>
      <c r="H19" s="40">
        <v>1</v>
      </c>
    </row>
    <row r="22" spans="1:8" ht="17" thickBot="1" x14ac:dyDescent="0.25"/>
    <row r="23" spans="1:8" x14ac:dyDescent="0.2">
      <c r="A23" s="42" t="s">
        <v>29</v>
      </c>
      <c r="B23" s="42"/>
      <c r="D23" s="42" t="s">
        <v>111</v>
      </c>
      <c r="E23" s="42"/>
      <c r="G23" s="42" t="s">
        <v>31</v>
      </c>
      <c r="H23" s="42"/>
    </row>
    <row r="24" spans="1:8" x14ac:dyDescent="0.2">
      <c r="A24" s="39"/>
      <c r="B24" s="39"/>
      <c r="D24" s="39"/>
      <c r="E24" s="39"/>
      <c r="G24" s="39"/>
      <c r="H24" s="39"/>
    </row>
    <row r="25" spans="1:8" x14ac:dyDescent="0.2">
      <c r="A25" s="39" t="s">
        <v>96</v>
      </c>
      <c r="B25" s="39">
        <v>6156</v>
      </c>
      <c r="D25" s="39" t="s">
        <v>96</v>
      </c>
      <c r="E25" s="39">
        <v>2.86</v>
      </c>
      <c r="G25" s="39" t="s">
        <v>96</v>
      </c>
      <c r="H25" s="39">
        <v>3.72</v>
      </c>
    </row>
    <row r="26" spans="1:8" x14ac:dyDescent="0.2">
      <c r="A26" s="39" t="s">
        <v>97</v>
      </c>
      <c r="B26" s="39">
        <v>111.9733012910676</v>
      </c>
      <c r="D26" s="39" t="s">
        <v>97</v>
      </c>
      <c r="E26" s="39">
        <v>0.10152374454811397</v>
      </c>
      <c r="G26" s="39" t="s">
        <v>97</v>
      </c>
      <c r="H26" s="39">
        <v>6.6787768794937807E-2</v>
      </c>
    </row>
    <row r="27" spans="1:8" x14ac:dyDescent="0.2">
      <c r="A27" s="39" t="s">
        <v>98</v>
      </c>
      <c r="B27" s="39">
        <v>6300</v>
      </c>
      <c r="D27" s="39" t="s">
        <v>98</v>
      </c>
      <c r="E27" s="39">
        <v>3</v>
      </c>
      <c r="G27" s="39" t="s">
        <v>98</v>
      </c>
      <c r="H27" s="39">
        <v>4</v>
      </c>
    </row>
    <row r="28" spans="1:8" x14ac:dyDescent="0.2">
      <c r="A28" s="39" t="s">
        <v>99</v>
      </c>
      <c r="B28" s="39">
        <v>6600</v>
      </c>
      <c r="D28" s="39" t="s">
        <v>99</v>
      </c>
      <c r="E28" s="39">
        <v>2</v>
      </c>
      <c r="G28" s="39" t="s">
        <v>99</v>
      </c>
      <c r="H28" s="39">
        <v>4</v>
      </c>
    </row>
    <row r="29" spans="1:8" x14ac:dyDescent="0.2">
      <c r="A29" s="39" t="s">
        <v>100</v>
      </c>
      <c r="B29" s="39">
        <v>1119.7330129106761</v>
      </c>
      <c r="D29" s="39" t="s">
        <v>100</v>
      </c>
      <c r="E29" s="39">
        <v>1.0152374454811397</v>
      </c>
      <c r="G29" s="39" t="s">
        <v>100</v>
      </c>
      <c r="H29" s="39">
        <v>0.66787768794937807</v>
      </c>
    </row>
    <row r="30" spans="1:8" x14ac:dyDescent="0.2">
      <c r="A30" s="39" t="s">
        <v>101</v>
      </c>
      <c r="B30" s="39">
        <v>1253802.0202020202</v>
      </c>
      <c r="D30" s="39" t="s">
        <v>101</v>
      </c>
      <c r="E30" s="39">
        <v>1.0307070707070702</v>
      </c>
      <c r="G30" s="39" t="s">
        <v>101</v>
      </c>
      <c r="H30" s="39">
        <v>0.44606060606060688</v>
      </c>
    </row>
    <row r="31" spans="1:8" x14ac:dyDescent="0.2">
      <c r="A31" s="39" t="s">
        <v>102</v>
      </c>
      <c r="B31" s="39">
        <v>-6.2589723770870798E-2</v>
      </c>
      <c r="D31" s="39" t="s">
        <v>102</v>
      </c>
      <c r="E31" s="39">
        <v>-0.6124410074622797</v>
      </c>
      <c r="G31" s="39" t="s">
        <v>102</v>
      </c>
      <c r="H31" s="39">
        <v>9.450832615119964E-2</v>
      </c>
    </row>
    <row r="32" spans="1:8" x14ac:dyDescent="0.2">
      <c r="A32" s="39" t="s">
        <v>103</v>
      </c>
      <c r="B32" s="39">
        <v>-0.35302305336744333</v>
      </c>
      <c r="D32" s="39" t="s">
        <v>103</v>
      </c>
      <c r="E32" s="39">
        <v>0.16874217087784474</v>
      </c>
      <c r="G32" s="39" t="s">
        <v>103</v>
      </c>
      <c r="H32" s="39">
        <v>-0.23216477813489128</v>
      </c>
    </row>
    <row r="33" spans="1:8" x14ac:dyDescent="0.2">
      <c r="A33" s="39" t="s">
        <v>104</v>
      </c>
      <c r="B33" s="39">
        <v>5200</v>
      </c>
      <c r="D33" s="39" t="s">
        <v>104</v>
      </c>
      <c r="E33" s="39">
        <v>4</v>
      </c>
      <c r="G33" s="39" t="s">
        <v>104</v>
      </c>
      <c r="H33" s="39">
        <v>3</v>
      </c>
    </row>
    <row r="34" spans="1:8" x14ac:dyDescent="0.2">
      <c r="A34" s="39" t="s">
        <v>105</v>
      </c>
      <c r="B34" s="39">
        <v>3200</v>
      </c>
      <c r="D34" s="39" t="s">
        <v>105</v>
      </c>
      <c r="E34" s="39">
        <v>1</v>
      </c>
      <c r="G34" s="39" t="s">
        <v>105</v>
      </c>
      <c r="H34" s="39">
        <v>2</v>
      </c>
    </row>
    <row r="35" spans="1:8" x14ac:dyDescent="0.2">
      <c r="A35" s="39" t="s">
        <v>106</v>
      </c>
      <c r="B35" s="39">
        <v>8400</v>
      </c>
      <c r="D35" s="39" t="s">
        <v>106</v>
      </c>
      <c r="E35" s="39">
        <v>5</v>
      </c>
      <c r="G35" s="39" t="s">
        <v>106</v>
      </c>
      <c r="H35" s="39">
        <v>5</v>
      </c>
    </row>
    <row r="36" spans="1:8" x14ac:dyDescent="0.2">
      <c r="A36" s="39" t="s">
        <v>107</v>
      </c>
      <c r="B36" s="39">
        <v>615600</v>
      </c>
      <c r="D36" s="39" t="s">
        <v>107</v>
      </c>
      <c r="E36" s="39">
        <v>286</v>
      </c>
      <c r="G36" s="39" t="s">
        <v>107</v>
      </c>
      <c r="H36" s="39">
        <v>372</v>
      </c>
    </row>
    <row r="37" spans="1:8" x14ac:dyDescent="0.2">
      <c r="A37" s="39" t="s">
        <v>108</v>
      </c>
      <c r="B37" s="39">
        <v>100</v>
      </c>
      <c r="D37" s="39" t="s">
        <v>108</v>
      </c>
      <c r="E37" s="39">
        <v>100</v>
      </c>
      <c r="G37" s="39" t="s">
        <v>108</v>
      </c>
      <c r="H37" s="39">
        <v>100</v>
      </c>
    </row>
    <row r="38" spans="1:8" x14ac:dyDescent="0.2">
      <c r="A38" s="39" t="s">
        <v>109</v>
      </c>
      <c r="B38" s="39">
        <v>8300</v>
      </c>
      <c r="D38" s="39" t="s">
        <v>109</v>
      </c>
      <c r="E38" s="39">
        <v>5</v>
      </c>
      <c r="G38" s="39" t="s">
        <v>109</v>
      </c>
      <c r="H38" s="39">
        <v>5</v>
      </c>
    </row>
    <row r="39" spans="1:8" ht="17" thickBot="1" x14ac:dyDescent="0.25">
      <c r="A39" s="40" t="s">
        <v>110</v>
      </c>
      <c r="B39" s="40">
        <v>3500</v>
      </c>
      <c r="D39" s="40" t="s">
        <v>110</v>
      </c>
      <c r="E39" s="40">
        <v>1</v>
      </c>
      <c r="G39" s="40" t="s">
        <v>110</v>
      </c>
      <c r="H39" s="40">
        <v>2</v>
      </c>
    </row>
    <row r="42" spans="1:8" x14ac:dyDescent="0.2">
      <c r="A42" s="37" t="s">
        <v>94</v>
      </c>
      <c r="B42" s="38"/>
      <c r="D42" s="37" t="s">
        <v>95</v>
      </c>
      <c r="E42" s="38"/>
      <c r="G42" s="37" t="s">
        <v>116</v>
      </c>
      <c r="H42" s="38"/>
    </row>
    <row r="43" spans="1:8" x14ac:dyDescent="0.2">
      <c r="G43" t="s">
        <v>112</v>
      </c>
      <c r="H43" s="43">
        <f>'Cleaned data'!L109</f>
        <v>26</v>
      </c>
    </row>
    <row r="44" spans="1:8" x14ac:dyDescent="0.2">
      <c r="A44" t="s">
        <v>76</v>
      </c>
      <c r="B44" s="21">
        <f>'Cleaned data'!F110</f>
        <v>20</v>
      </c>
      <c r="D44" t="s">
        <v>44</v>
      </c>
      <c r="E44" s="21">
        <f>'Cleaned data'!I110</f>
        <v>40</v>
      </c>
      <c r="G44" t="s">
        <v>113</v>
      </c>
      <c r="H44" s="43">
        <f>'Cleaned data'!L110</f>
        <v>18</v>
      </c>
    </row>
    <row r="45" spans="1:8" x14ac:dyDescent="0.2">
      <c r="A45" t="s">
        <v>43</v>
      </c>
      <c r="B45" s="21">
        <f>'Cleaned data'!F111</f>
        <v>31</v>
      </c>
      <c r="D45" t="s">
        <v>72</v>
      </c>
      <c r="E45" s="21">
        <f>'Cleaned data'!I111</f>
        <v>60</v>
      </c>
      <c r="G45" t="s">
        <v>114</v>
      </c>
      <c r="H45" s="43">
        <f>'Cleaned data'!L111</f>
        <v>25</v>
      </c>
    </row>
    <row r="46" spans="1:8" x14ac:dyDescent="0.2">
      <c r="A46" t="s">
        <v>74</v>
      </c>
      <c r="B46" s="21">
        <f>'Cleaned data'!F112</f>
        <v>14</v>
      </c>
      <c r="G46" t="s">
        <v>115</v>
      </c>
      <c r="H46" s="43">
        <f>'Cleaned data'!L112</f>
        <v>31</v>
      </c>
    </row>
    <row r="47" spans="1:8" x14ac:dyDescent="0.2">
      <c r="A47" t="s">
        <v>73</v>
      </c>
      <c r="B47" s="21">
        <f>'Cleaned data'!F113</f>
        <v>17</v>
      </c>
    </row>
    <row r="48" spans="1:8" x14ac:dyDescent="0.2">
      <c r="A48" t="s">
        <v>71</v>
      </c>
      <c r="B48" s="21">
        <f>'Cleaned data'!F114</f>
        <v>18</v>
      </c>
    </row>
    <row r="50" spans="1:5" x14ac:dyDescent="0.2">
      <c r="D50" s="37" t="s">
        <v>122</v>
      </c>
      <c r="E50" s="38"/>
    </row>
    <row r="51" spans="1:5" x14ac:dyDescent="0.2">
      <c r="D51" t="s">
        <v>42</v>
      </c>
      <c r="E51" s="32">
        <f>'Cleaned data'!C119</f>
        <v>6005</v>
      </c>
    </row>
    <row r="52" spans="1:5" x14ac:dyDescent="0.2">
      <c r="A52" s="6" t="s">
        <v>117</v>
      </c>
      <c r="B52" s="7"/>
      <c r="D52" t="s">
        <v>66</v>
      </c>
      <c r="E52" s="32">
        <f>'Cleaned data'!C120</f>
        <v>6424</v>
      </c>
    </row>
    <row r="53" spans="1:5" x14ac:dyDescent="0.2">
      <c r="A53" s="44" t="s">
        <v>118</v>
      </c>
      <c r="B53" s="2"/>
      <c r="D53" t="s">
        <v>65</v>
      </c>
      <c r="E53" s="32">
        <f>'Cleaned data'!C121</f>
        <v>6241</v>
      </c>
    </row>
    <row r="54" spans="1:5" x14ac:dyDescent="0.2">
      <c r="A54" s="44" t="s">
        <v>119</v>
      </c>
      <c r="B54" s="2"/>
      <c r="D54" t="s">
        <v>64</v>
      </c>
      <c r="E54" s="32">
        <f>'Cleaned data'!C122</f>
        <v>5950</v>
      </c>
    </row>
    <row r="55" spans="1:5" x14ac:dyDescent="0.2">
      <c r="A55" s="44" t="s">
        <v>120</v>
      </c>
      <c r="B55" s="2"/>
      <c r="D55" t="s">
        <v>67</v>
      </c>
      <c r="E55" s="32">
        <f>'Cleaned data'!C123</f>
        <v>5911</v>
      </c>
    </row>
    <row r="56" spans="1:5" x14ac:dyDescent="0.2">
      <c r="A56" s="44" t="s">
        <v>121</v>
      </c>
      <c r="B56" s="2"/>
    </row>
  </sheetData>
  <mergeCells count="15">
    <mergeCell ref="A52:B52"/>
    <mergeCell ref="A53:B53"/>
    <mergeCell ref="A54:B54"/>
    <mergeCell ref="A55:B55"/>
    <mergeCell ref="A56:B56"/>
    <mergeCell ref="D50:E50"/>
    <mergeCell ref="A42:B42"/>
    <mergeCell ref="D42:E42"/>
    <mergeCell ref="G42:H42"/>
    <mergeCell ref="A1:H1"/>
    <mergeCell ref="D3:E3"/>
    <mergeCell ref="G3:H3"/>
    <mergeCell ref="A23:B23"/>
    <mergeCell ref="D23:E23"/>
    <mergeCell ref="G23:H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18019-9764-DB4E-937D-FC80D1B60F82}">
  <dimension ref="A1:H16"/>
  <sheetViews>
    <sheetView workbookViewId="0">
      <selection activeCell="C21" sqref="C21"/>
    </sheetView>
  </sheetViews>
  <sheetFormatPr baseColWidth="10" defaultRowHeight="16" x14ac:dyDescent="0.2"/>
  <cols>
    <col min="1" max="1" width="24.1640625" customWidth="1"/>
    <col min="2" max="2" width="14.33203125" customWidth="1"/>
    <col min="3" max="3" width="24.6640625" customWidth="1"/>
    <col min="4" max="4" width="16.1640625" customWidth="1"/>
    <col min="5" max="5" width="15.33203125" customWidth="1"/>
    <col min="6" max="6" width="15.6640625" customWidth="1"/>
    <col min="7" max="7" width="18.33203125" customWidth="1"/>
  </cols>
  <sheetData>
    <row r="1" spans="1:8" x14ac:dyDescent="0.2">
      <c r="A1" s="15" t="s">
        <v>124</v>
      </c>
      <c r="B1" s="7"/>
      <c r="C1" s="7"/>
      <c r="D1" s="7"/>
      <c r="E1" s="7"/>
      <c r="F1" s="7"/>
      <c r="G1" s="7"/>
      <c r="H1" s="7"/>
    </row>
    <row r="3" spans="1:8" x14ac:dyDescent="0.2">
      <c r="A3" s="37" t="s">
        <v>125</v>
      </c>
      <c r="B3" s="38"/>
      <c r="C3" s="38"/>
      <c r="D3" s="38"/>
      <c r="E3" s="38"/>
      <c r="F3" s="38"/>
      <c r="G3" s="38"/>
      <c r="H3" s="38"/>
    </row>
    <row r="5" spans="1:8" x14ac:dyDescent="0.2">
      <c r="B5" s="46" t="s">
        <v>25</v>
      </c>
      <c r="C5" s="46" t="s">
        <v>60</v>
      </c>
      <c r="D5" s="46" t="s">
        <v>29</v>
      </c>
      <c r="E5" s="46" t="s">
        <v>111</v>
      </c>
      <c r="F5" s="46" t="s">
        <v>31</v>
      </c>
      <c r="G5" s="46" t="s">
        <v>32</v>
      </c>
    </row>
    <row r="6" spans="1:8" x14ac:dyDescent="0.2">
      <c r="A6" s="46" t="s">
        <v>25</v>
      </c>
      <c r="B6">
        <f>CORREL('Cleaned data'!E4:E103,'Cleaned data'!E4:E103)</f>
        <v>1.0000000000000002</v>
      </c>
    </row>
    <row r="7" spans="1:8" x14ac:dyDescent="0.2">
      <c r="A7" s="46" t="s">
        <v>60</v>
      </c>
      <c r="B7">
        <f>CORREL('Cleaned data'!E4:E103,'Cleaned data'!H4:H103)</f>
        <v>-0.27957138501729983</v>
      </c>
      <c r="C7">
        <f>CORREL('Cleaned data'!H4:H103,'Cleaned data'!H4:H103)</f>
        <v>1</v>
      </c>
    </row>
    <row r="8" spans="1:8" x14ac:dyDescent="0.2">
      <c r="A8" s="46" t="s">
        <v>29</v>
      </c>
      <c r="B8">
        <f>CORREL('Cleaned data'!E4:E103,'Cleaned data'!I4:I103)</f>
        <v>0.69700971331858141</v>
      </c>
      <c r="C8">
        <f>CORREL('Cleaned data'!H4:H103,'Cleaned data'!I4:I103)</f>
        <v>-5.2040639034749488E-2</v>
      </c>
      <c r="D8">
        <f>CORREL('Cleaned data'!I4:I103,'Cleaned data'!I4:I103)</f>
        <v>1</v>
      </c>
    </row>
    <row r="9" spans="1:8" x14ac:dyDescent="0.2">
      <c r="A9" s="46" t="s">
        <v>111</v>
      </c>
      <c r="B9">
        <f>CORREL('Cleaned data'!E4:E103,'Cleaned data'!J4:J103)</f>
        <v>-0.73657077415261896</v>
      </c>
      <c r="C9">
        <f>CORREL('Cleaned data'!H4:H103,'Cleaned data'!J4:J103)</f>
        <v>0.26939273947251235</v>
      </c>
      <c r="D9">
        <f>CORREL('Cleaned data'!I4:I103,'Cleaned data'!J4:J103)</f>
        <v>-0.40532173692489459</v>
      </c>
      <c r="E9">
        <f>CORREL('Cleaned data'!J4:J103,'Cleaned data'!J4:J103)</f>
        <v>1.0000000000000002</v>
      </c>
    </row>
    <row r="10" spans="1:8" x14ac:dyDescent="0.2">
      <c r="A10" s="46" t="s">
        <v>31</v>
      </c>
      <c r="B10">
        <f>CORREL('Cleaned data'!E4:E103,'Cleaned data'!K4:K103)</f>
        <v>0.37787497611718757</v>
      </c>
      <c r="C10">
        <f>CORREL('Cleaned data'!H4:H103,'Cleaned data'!K4:K103)</f>
        <v>0.31886487394975876</v>
      </c>
      <c r="D10">
        <f>CORREL('Cleaned data'!I4:I103,'Cleaned data'!K4:K103)</f>
        <v>0.49796975562411971</v>
      </c>
      <c r="E10">
        <f>CORREL('Cleaned data'!J4:J103,'Cleaned data'!K4:K103)</f>
        <v>-0.20736692036217191</v>
      </c>
      <c r="F10">
        <f>CORREL('Cleaned data'!K4:K103,'Cleaned data'!K4:K103)</f>
        <v>0.99999999999999989</v>
      </c>
    </row>
    <row r="11" spans="1:8" x14ac:dyDescent="0.2">
      <c r="A11" s="46" t="s">
        <v>32</v>
      </c>
      <c r="B11">
        <f>CORREL('Cleaned data'!E4:E103,'Cleaned data'!L4:L103)</f>
        <v>-1.827343003620284E-2</v>
      </c>
      <c r="C11">
        <f>CORREL('Cleaned data'!H4:H103,'Cleaned data'!L4:L103)</f>
        <v>0.22060995444716958</v>
      </c>
      <c r="D11">
        <f>CORREL('Cleaned data'!I4:I103,'Cleaned data'!L4:L103)</f>
        <v>0.26344863513817723</v>
      </c>
      <c r="E11">
        <f>CORREL('Cleaned data'!J4:J103,'Cleaned data'!L4:L103)</f>
        <v>0.2349676172425606</v>
      </c>
      <c r="F11">
        <f>CORREL('Cleaned data'!K4:K103,'Cleaned data'!L4:L103)</f>
        <v>0.4914225858755204</v>
      </c>
      <c r="G11">
        <f>CORREL('Cleaned data'!L4:L103,'Cleaned data'!L4:L103)</f>
        <v>1</v>
      </c>
    </row>
    <row r="12" spans="1:8" x14ac:dyDescent="0.2">
      <c r="B12" s="45"/>
    </row>
    <row r="13" spans="1:8" x14ac:dyDescent="0.2">
      <c r="A13" s="16" t="s">
        <v>126</v>
      </c>
    </row>
    <row r="14" spans="1:8" x14ac:dyDescent="0.2">
      <c r="A14" s="47" t="s">
        <v>127</v>
      </c>
      <c r="B14" s="1" t="s">
        <v>130</v>
      </c>
      <c r="C14" s="2"/>
      <c r="D14" s="2"/>
      <c r="E14" s="2"/>
      <c r="F14" s="2"/>
      <c r="G14" s="2"/>
      <c r="H14" s="2"/>
    </row>
    <row r="15" spans="1:8" x14ac:dyDescent="0.2">
      <c r="A15" t="s">
        <v>128</v>
      </c>
      <c r="B15" s="1" t="s">
        <v>131</v>
      </c>
      <c r="C15" s="2"/>
      <c r="D15" s="2"/>
      <c r="E15" s="2"/>
      <c r="F15" s="2"/>
      <c r="G15" s="2"/>
      <c r="H15" s="2"/>
    </row>
    <row r="16" spans="1:8" x14ac:dyDescent="0.2">
      <c r="A16" t="s">
        <v>129</v>
      </c>
      <c r="B16" s="1" t="s">
        <v>132</v>
      </c>
      <c r="C16" s="2"/>
      <c r="D16" s="2"/>
      <c r="E16" s="2"/>
      <c r="F16" s="2"/>
      <c r="G16" s="2"/>
      <c r="H16" s="2"/>
    </row>
  </sheetData>
  <mergeCells count="5">
    <mergeCell ref="A1:H1"/>
    <mergeCell ref="A3:H3"/>
    <mergeCell ref="B14:H14"/>
    <mergeCell ref="B15:H15"/>
    <mergeCell ref="B16:H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0CF21-B617-364F-B7F2-8B54C188BBA8}">
  <dimension ref="A1:Q88"/>
  <sheetViews>
    <sheetView tabSelected="1" topLeftCell="A28" workbookViewId="0">
      <selection activeCell="AK45" sqref="AK45"/>
    </sheetView>
  </sheetViews>
  <sheetFormatPr baseColWidth="10" defaultRowHeight="16" x14ac:dyDescent="0.2"/>
  <sheetData>
    <row r="1" spans="1:16" x14ac:dyDescent="0.2">
      <c r="A1" s="15" t="s">
        <v>133</v>
      </c>
      <c r="B1" s="7"/>
      <c r="C1" s="7"/>
      <c r="D1" s="7"/>
      <c r="E1" s="7"/>
      <c r="F1" s="7"/>
      <c r="G1" s="7"/>
      <c r="H1" s="7"/>
      <c r="I1" s="7"/>
      <c r="J1" s="7"/>
      <c r="K1" s="7"/>
      <c r="L1" s="7"/>
      <c r="M1" s="7"/>
      <c r="N1" s="7"/>
      <c r="O1" s="7"/>
      <c r="P1" s="7"/>
    </row>
    <row r="3" spans="1:16" x14ac:dyDescent="0.2">
      <c r="A3" t="s">
        <v>134</v>
      </c>
    </row>
    <row r="7" spans="1:16" x14ac:dyDescent="0.2">
      <c r="A7">
        <v>1</v>
      </c>
      <c r="H7">
        <v>2</v>
      </c>
    </row>
    <row r="23" spans="1:15" x14ac:dyDescent="0.2">
      <c r="A23" s="48" t="s">
        <v>135</v>
      </c>
      <c r="B23" s="2"/>
      <c r="C23" s="2"/>
      <c r="D23" s="2"/>
      <c r="E23" s="2"/>
      <c r="F23" s="2"/>
      <c r="G23" s="2"/>
    </row>
    <row r="24" spans="1:15" x14ac:dyDescent="0.2">
      <c r="A24" s="2"/>
      <c r="B24" s="2"/>
      <c r="C24" s="2"/>
      <c r="D24" s="2"/>
      <c r="E24" s="2"/>
      <c r="F24" s="2"/>
      <c r="G24" s="2"/>
    </row>
    <row r="25" spans="1:15" x14ac:dyDescent="0.2">
      <c r="A25" s="2"/>
      <c r="B25" s="2"/>
      <c r="C25" s="2"/>
      <c r="D25" s="2"/>
      <c r="E25" s="2"/>
      <c r="F25" s="2"/>
      <c r="G25" s="2"/>
    </row>
    <row r="26" spans="1:15" x14ac:dyDescent="0.2">
      <c r="I26" s="48" t="s">
        <v>136</v>
      </c>
      <c r="J26" s="2"/>
      <c r="K26" s="2"/>
      <c r="L26" s="2"/>
      <c r="M26" s="2"/>
      <c r="N26" s="2"/>
      <c r="O26" s="2"/>
    </row>
    <row r="27" spans="1:15" x14ac:dyDescent="0.2">
      <c r="I27" s="2"/>
      <c r="J27" s="2"/>
      <c r="K27" s="2"/>
      <c r="L27" s="2"/>
      <c r="M27" s="2"/>
      <c r="N27" s="2"/>
      <c r="O27" s="2"/>
    </row>
    <row r="28" spans="1:15" x14ac:dyDescent="0.2">
      <c r="I28" s="2"/>
      <c r="J28" s="2"/>
      <c r="K28" s="2"/>
      <c r="L28" s="2"/>
      <c r="M28" s="2"/>
      <c r="N28" s="2"/>
      <c r="O28" s="2"/>
    </row>
    <row r="31" spans="1:15" x14ac:dyDescent="0.2">
      <c r="A31">
        <v>3</v>
      </c>
    </row>
    <row r="32" spans="1:15" x14ac:dyDescent="0.2">
      <c r="I32">
        <v>4</v>
      </c>
    </row>
    <row r="56" spans="2:17" x14ac:dyDescent="0.2">
      <c r="K56" s="28" t="s">
        <v>138</v>
      </c>
      <c r="L56" s="28"/>
      <c r="M56" s="28"/>
      <c r="N56" s="28"/>
      <c r="O56" s="28"/>
      <c r="P56" s="28"/>
      <c r="Q56" s="28"/>
    </row>
    <row r="57" spans="2:17" x14ac:dyDescent="0.2">
      <c r="K57" s="28"/>
      <c r="L57" s="28"/>
      <c r="M57" s="28"/>
      <c r="N57" s="28"/>
      <c r="O57" s="28"/>
      <c r="P57" s="28"/>
      <c r="Q57" s="28"/>
    </row>
    <row r="58" spans="2:17" x14ac:dyDescent="0.2">
      <c r="K58" s="28"/>
      <c r="L58" s="28"/>
      <c r="M58" s="28"/>
      <c r="N58" s="28"/>
      <c r="O58" s="28"/>
      <c r="P58" s="28"/>
      <c r="Q58" s="28"/>
    </row>
    <row r="59" spans="2:17" x14ac:dyDescent="0.2">
      <c r="B59" s="48" t="s">
        <v>137</v>
      </c>
      <c r="C59" s="2"/>
      <c r="D59" s="2"/>
      <c r="E59" s="2"/>
      <c r="F59" s="2"/>
      <c r="G59" s="2"/>
      <c r="H59" s="2"/>
    </row>
    <row r="60" spans="2:17" x14ac:dyDescent="0.2">
      <c r="B60" s="2"/>
      <c r="C60" s="2"/>
      <c r="D60" s="2"/>
      <c r="E60" s="2"/>
      <c r="F60" s="2"/>
      <c r="G60" s="2"/>
      <c r="H60" s="2"/>
    </row>
    <row r="61" spans="2:17" x14ac:dyDescent="0.2">
      <c r="B61" s="2"/>
      <c r="C61" s="2"/>
      <c r="D61" s="2"/>
      <c r="E61" s="2"/>
      <c r="F61" s="2"/>
      <c r="G61" s="2"/>
      <c r="H61" s="2"/>
    </row>
    <row r="66" spans="4:4" x14ac:dyDescent="0.2">
      <c r="D66">
        <v>5</v>
      </c>
    </row>
    <row r="86" spans="3:9" x14ac:dyDescent="0.2">
      <c r="C86" s="48" t="s">
        <v>139</v>
      </c>
      <c r="D86" s="2"/>
      <c r="E86" s="2"/>
      <c r="F86" s="2"/>
      <c r="G86" s="2"/>
      <c r="H86" s="2"/>
      <c r="I86" s="2"/>
    </row>
    <row r="87" spans="3:9" x14ac:dyDescent="0.2">
      <c r="C87" s="2"/>
      <c r="D87" s="2"/>
      <c r="E87" s="2"/>
      <c r="F87" s="2"/>
      <c r="G87" s="2"/>
      <c r="H87" s="2"/>
      <c r="I87" s="2"/>
    </row>
    <row r="88" spans="3:9" x14ac:dyDescent="0.2">
      <c r="C88" s="2"/>
      <c r="D88" s="2"/>
      <c r="E88" s="2"/>
      <c r="F88" s="2"/>
      <c r="G88" s="2"/>
      <c r="H88" s="2"/>
      <c r="I88" s="2"/>
    </row>
  </sheetData>
  <mergeCells count="6">
    <mergeCell ref="B59:H61"/>
    <mergeCell ref="K56:Q58"/>
    <mergeCell ref="C86:I88"/>
    <mergeCell ref="A1:P1"/>
    <mergeCell ref="A23:G25"/>
    <mergeCell ref="I26:O2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2A6FE-4516-2148-86AD-52DB031D9F60}">
  <dimension ref="A1:H36"/>
  <sheetViews>
    <sheetView workbookViewId="0">
      <selection activeCell="M45" sqref="M45"/>
    </sheetView>
  </sheetViews>
  <sheetFormatPr baseColWidth="10" defaultRowHeight="16" x14ac:dyDescent="0.2"/>
  <sheetData>
    <row r="1" spans="1:8" x14ac:dyDescent="0.2">
      <c r="A1" s="49" t="s">
        <v>141</v>
      </c>
      <c r="B1" s="38"/>
      <c r="C1" s="38"/>
      <c r="D1" s="38"/>
      <c r="E1" s="38"/>
      <c r="F1" s="38"/>
      <c r="G1" s="38"/>
      <c r="H1" s="38"/>
    </row>
    <row r="3" spans="1:8" x14ac:dyDescent="0.2">
      <c r="A3" s="6" t="s">
        <v>140</v>
      </c>
      <c r="B3" s="7"/>
      <c r="C3" s="7"/>
      <c r="D3" s="7"/>
      <c r="E3" s="7"/>
      <c r="F3" s="7"/>
      <c r="G3" s="7"/>
      <c r="H3" s="7"/>
    </row>
    <row r="4" spans="1:8" x14ac:dyDescent="0.2">
      <c r="A4" s="10" t="s">
        <v>142</v>
      </c>
      <c r="B4" s="2"/>
      <c r="C4" s="2"/>
      <c r="D4" s="2"/>
      <c r="E4" s="2"/>
      <c r="F4" s="2"/>
      <c r="G4" s="2"/>
      <c r="H4" s="2"/>
    </row>
    <row r="5" spans="1:8" x14ac:dyDescent="0.2">
      <c r="A5" s="2"/>
      <c r="B5" s="2"/>
      <c r="C5" s="2"/>
      <c r="D5" s="2"/>
      <c r="E5" s="2"/>
      <c r="F5" s="2"/>
      <c r="G5" s="2"/>
      <c r="H5" s="2"/>
    </row>
    <row r="6" spans="1:8" ht="32" customHeight="1" x14ac:dyDescent="0.2">
      <c r="A6" s="2"/>
      <c r="B6" s="2"/>
      <c r="C6" s="2"/>
      <c r="D6" s="2"/>
      <c r="E6" s="2"/>
      <c r="F6" s="2"/>
      <c r="G6" s="2"/>
      <c r="H6" s="2"/>
    </row>
    <row r="8" spans="1:8" x14ac:dyDescent="0.2">
      <c r="A8" s="50" t="s">
        <v>1</v>
      </c>
      <c r="B8" s="50"/>
      <c r="C8" s="50"/>
      <c r="D8" s="50"/>
      <c r="E8" s="50"/>
      <c r="F8" s="50"/>
      <c r="G8" s="50"/>
      <c r="H8" s="50"/>
    </row>
    <row r="9" spans="1:8" x14ac:dyDescent="0.2">
      <c r="A9" s="10" t="s">
        <v>143</v>
      </c>
      <c r="B9" s="2"/>
      <c r="C9" s="2"/>
      <c r="D9" s="2"/>
      <c r="E9" s="2"/>
      <c r="F9" s="2"/>
      <c r="G9" s="2"/>
      <c r="H9" s="2"/>
    </row>
    <row r="10" spans="1:8" x14ac:dyDescent="0.2">
      <c r="A10" s="2"/>
      <c r="B10" s="2"/>
      <c r="C10" s="2"/>
      <c r="D10" s="2"/>
      <c r="E10" s="2"/>
      <c r="F10" s="2"/>
      <c r="G10" s="2"/>
      <c r="H10" s="2"/>
    </row>
    <row r="11" spans="1:8" ht="24" customHeight="1" x14ac:dyDescent="0.2">
      <c r="A11" s="2"/>
      <c r="B11" s="2"/>
      <c r="C11" s="2"/>
      <c r="D11" s="2"/>
      <c r="E11" s="2"/>
      <c r="F11" s="2"/>
      <c r="G11" s="2"/>
      <c r="H11" s="2"/>
    </row>
    <row r="13" spans="1:8" x14ac:dyDescent="0.2">
      <c r="A13" s="6" t="s">
        <v>144</v>
      </c>
      <c r="B13" s="7"/>
      <c r="C13" s="7"/>
      <c r="D13" s="7"/>
      <c r="E13" s="7"/>
      <c r="F13" s="7"/>
      <c r="G13" s="7"/>
      <c r="H13" s="7"/>
    </row>
    <row r="14" spans="1:8" x14ac:dyDescent="0.2">
      <c r="A14" s="10" t="s">
        <v>145</v>
      </c>
      <c r="B14" s="2"/>
      <c r="C14" s="2"/>
      <c r="D14" s="2"/>
      <c r="E14" s="2"/>
      <c r="F14" s="2"/>
      <c r="G14" s="2"/>
      <c r="H14" s="2"/>
    </row>
    <row r="15" spans="1:8" x14ac:dyDescent="0.2">
      <c r="A15" s="2"/>
      <c r="B15" s="2"/>
      <c r="C15" s="2"/>
      <c r="D15" s="2"/>
      <c r="E15" s="2"/>
      <c r="F15" s="2"/>
      <c r="G15" s="2"/>
      <c r="H15" s="2"/>
    </row>
    <row r="16" spans="1:8" ht="24" customHeight="1" x14ac:dyDescent="0.2">
      <c r="A16" s="2"/>
      <c r="B16" s="2"/>
      <c r="C16" s="2"/>
      <c r="D16" s="2"/>
      <c r="E16" s="2"/>
      <c r="F16" s="2"/>
      <c r="G16" s="2"/>
      <c r="H16" s="2"/>
    </row>
    <row r="18" spans="1:8" x14ac:dyDescent="0.2">
      <c r="A18" s="6" t="s">
        <v>146</v>
      </c>
      <c r="B18" s="7"/>
      <c r="C18" s="7"/>
      <c r="D18" s="7"/>
      <c r="E18" s="7"/>
      <c r="F18" s="7"/>
      <c r="G18" s="7"/>
      <c r="H18" s="7"/>
    </row>
    <row r="19" spans="1:8" x14ac:dyDescent="0.2">
      <c r="A19" s="10" t="s">
        <v>153</v>
      </c>
      <c r="B19" s="2"/>
      <c r="C19" s="2"/>
      <c r="D19" s="2"/>
      <c r="E19" s="2"/>
      <c r="F19" s="2"/>
      <c r="G19" s="2"/>
      <c r="H19" s="2"/>
    </row>
    <row r="20" spans="1:8" x14ac:dyDescent="0.2">
      <c r="A20" s="2"/>
      <c r="B20" s="2"/>
      <c r="C20" s="2"/>
      <c r="D20" s="2"/>
      <c r="E20" s="2"/>
      <c r="F20" s="2"/>
      <c r="G20" s="2"/>
      <c r="H20" s="2"/>
    </row>
    <row r="21" spans="1:8" ht="34" customHeight="1" x14ac:dyDescent="0.2">
      <c r="A21" s="2"/>
      <c r="B21" s="2"/>
      <c r="C21" s="2"/>
      <c r="D21" s="2"/>
      <c r="E21" s="2"/>
      <c r="F21" s="2"/>
      <c r="G21" s="2"/>
      <c r="H21" s="2"/>
    </row>
    <row r="23" spans="1:8" x14ac:dyDescent="0.2">
      <c r="A23" s="6" t="s">
        <v>147</v>
      </c>
      <c r="B23" s="7"/>
      <c r="C23" s="7"/>
      <c r="D23" s="7"/>
      <c r="E23" s="7"/>
      <c r="F23" s="7"/>
      <c r="G23" s="7"/>
      <c r="H23" s="7"/>
    </row>
    <row r="24" spans="1:8" x14ac:dyDescent="0.2">
      <c r="A24" s="10" t="s">
        <v>148</v>
      </c>
      <c r="B24" s="2"/>
      <c r="C24" s="2"/>
      <c r="D24" s="2"/>
      <c r="E24" s="2"/>
      <c r="F24" s="2"/>
      <c r="G24" s="2"/>
      <c r="H24" s="2"/>
    </row>
    <row r="25" spans="1:8" x14ac:dyDescent="0.2">
      <c r="A25" s="2"/>
      <c r="B25" s="2"/>
      <c r="C25" s="2"/>
      <c r="D25" s="2"/>
      <c r="E25" s="2"/>
      <c r="F25" s="2"/>
      <c r="G25" s="2"/>
      <c r="H25" s="2"/>
    </row>
    <row r="26" spans="1:8" ht="37" customHeight="1" x14ac:dyDescent="0.2">
      <c r="A26" s="2"/>
      <c r="B26" s="2"/>
      <c r="C26" s="2"/>
      <c r="D26" s="2"/>
      <c r="E26" s="2"/>
      <c r="F26" s="2"/>
      <c r="G26" s="2"/>
      <c r="H26" s="2"/>
    </row>
    <row r="28" spans="1:8" x14ac:dyDescent="0.2">
      <c r="A28" s="6" t="s">
        <v>149</v>
      </c>
      <c r="B28" s="7"/>
      <c r="C28" s="7"/>
      <c r="D28" s="7"/>
      <c r="E28" s="7"/>
      <c r="F28" s="7"/>
      <c r="G28" s="7"/>
      <c r="H28" s="7"/>
    </row>
    <row r="29" spans="1:8" x14ac:dyDescent="0.2">
      <c r="A29" s="10" t="s">
        <v>150</v>
      </c>
      <c r="B29" s="2"/>
      <c r="C29" s="2"/>
      <c r="D29" s="2"/>
      <c r="E29" s="2"/>
      <c r="F29" s="2"/>
      <c r="G29" s="2"/>
      <c r="H29" s="2"/>
    </row>
    <row r="30" spans="1:8" x14ac:dyDescent="0.2">
      <c r="A30" s="2"/>
      <c r="B30" s="2"/>
      <c r="C30" s="2"/>
      <c r="D30" s="2"/>
      <c r="E30" s="2"/>
      <c r="F30" s="2"/>
      <c r="G30" s="2"/>
      <c r="H30" s="2"/>
    </row>
    <row r="31" spans="1:8" ht="20" customHeight="1" x14ac:dyDescent="0.2">
      <c r="A31" s="2"/>
      <c r="B31" s="2"/>
      <c r="C31" s="2"/>
      <c r="D31" s="2"/>
      <c r="E31" s="2"/>
      <c r="F31" s="2"/>
      <c r="G31" s="2"/>
      <c r="H31" s="2"/>
    </row>
    <row r="33" spans="1:8" x14ac:dyDescent="0.2">
      <c r="A33" s="6" t="s">
        <v>151</v>
      </c>
      <c r="B33" s="7"/>
      <c r="C33" s="7"/>
      <c r="D33" s="7"/>
      <c r="E33" s="7"/>
      <c r="F33" s="7"/>
      <c r="G33" s="7"/>
      <c r="H33" s="7"/>
    </row>
    <row r="34" spans="1:8" x14ac:dyDescent="0.2">
      <c r="A34" s="10" t="s">
        <v>152</v>
      </c>
      <c r="B34" s="2"/>
      <c r="C34" s="2"/>
      <c r="D34" s="2"/>
      <c r="E34" s="2"/>
      <c r="F34" s="2"/>
      <c r="G34" s="2"/>
      <c r="H34" s="2"/>
    </row>
    <row r="35" spans="1:8" x14ac:dyDescent="0.2">
      <c r="A35" s="2"/>
      <c r="B35" s="2"/>
      <c r="C35" s="2"/>
      <c r="D35" s="2"/>
      <c r="E35" s="2"/>
      <c r="F35" s="2"/>
      <c r="G35" s="2"/>
      <c r="H35" s="2"/>
    </row>
    <row r="36" spans="1:8" ht="28" customHeight="1" x14ac:dyDescent="0.2">
      <c r="A36" s="2"/>
      <c r="B36" s="2"/>
      <c r="C36" s="2"/>
      <c r="D36" s="2"/>
      <c r="E36" s="2"/>
      <c r="F36" s="2"/>
      <c r="G36" s="2"/>
      <c r="H36" s="2"/>
    </row>
  </sheetData>
  <mergeCells count="15">
    <mergeCell ref="A28:H28"/>
    <mergeCell ref="A29:H31"/>
    <mergeCell ref="A33:H33"/>
    <mergeCell ref="A34:H36"/>
    <mergeCell ref="A13:H13"/>
    <mergeCell ref="A14:H16"/>
    <mergeCell ref="A18:H18"/>
    <mergeCell ref="A19:H21"/>
    <mergeCell ref="A23:H23"/>
    <mergeCell ref="A24:H26"/>
    <mergeCell ref="A3:H3"/>
    <mergeCell ref="A1:H1"/>
    <mergeCell ref="A4:H6"/>
    <mergeCell ref="A8:H8"/>
    <mergeCell ref="A9: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Overview </vt:lpstr>
      <vt:lpstr>Raw data</vt:lpstr>
      <vt:lpstr>Purchase likelihood</vt:lpstr>
      <vt:lpstr>Purchase frequency per year</vt:lpstr>
      <vt:lpstr>Willingness to pay</vt:lpstr>
      <vt:lpstr>Influencer impact</vt:lpstr>
      <vt:lpstr>Brand Awareness</vt:lpstr>
      <vt:lpstr>Cleaned data</vt:lpstr>
      <vt:lpstr>Descriptive stats</vt:lpstr>
      <vt:lpstr>Correlation</vt:lpstr>
      <vt:lpstr>Graphs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Harshitaa Sansanwal</dc:creator>
  <cp:lastModifiedBy>Harshitaa Sansanwal</cp:lastModifiedBy>
  <dcterms:created xsi:type="dcterms:W3CDTF">2026-03-25T20:15:35Z</dcterms:created>
  <dcterms:modified xsi:type="dcterms:W3CDTF">2026-03-27T00:19:38Z</dcterms:modified>
</cp:coreProperties>
</file>